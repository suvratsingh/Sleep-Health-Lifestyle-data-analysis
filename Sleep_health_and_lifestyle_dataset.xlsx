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60" windowWidth="20115" windowHeight="8010" activeTab="2"/>
  </bookViews>
  <sheets>
    <sheet name="Pivot Table" sheetId="3" r:id="rId1"/>
    <sheet name="Sleep_health_and_lifestyle_data" sheetId="1" r:id="rId2"/>
    <sheet name="Charts" sheetId="2" r:id="rId3"/>
  </sheets>
  <definedNames>
    <definedName name="_xlnm._FilterDatabase" localSheetId="1" hidden="1">Sleep_health_and_lifestyle_data!$L$1:$L$375</definedName>
    <definedName name="Slicer_Age_Group">#N/A</definedName>
    <definedName name="Slicer_Gender">#N/A</definedName>
    <definedName name="Slicer_Occupation">#N/A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3" i="1" l="1"/>
  <c r="D3" i="1" l="1"/>
  <c r="D4" i="1"/>
  <c r="D5" i="1"/>
  <c r="D6" i="1"/>
  <c r="D7" i="1"/>
  <c r="D8" i="1"/>
  <c r="D9" i="1"/>
  <c r="D10" i="1"/>
  <c r="D11" i="1"/>
  <c r="D12"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2" i="1"/>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2" i="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L116" i="1" s="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L132"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152" i="1"/>
  <c r="L152" i="1" s="1"/>
  <c r="K153" i="1"/>
  <c r="L153" i="1" s="1"/>
  <c r="K154" i="1"/>
  <c r="L154" i="1" s="1"/>
  <c r="K155" i="1"/>
  <c r="L155" i="1" s="1"/>
  <c r="K156" i="1"/>
  <c r="L156" i="1" s="1"/>
  <c r="K157" i="1"/>
  <c r="L157" i="1" s="1"/>
  <c r="K158" i="1"/>
  <c r="L158" i="1" s="1"/>
  <c r="K159" i="1"/>
  <c r="L159" i="1" s="1"/>
  <c r="K160" i="1"/>
  <c r="L160" i="1" s="1"/>
  <c r="K161" i="1"/>
  <c r="L161" i="1" s="1"/>
  <c r="K162" i="1"/>
  <c r="L162" i="1" s="1"/>
  <c r="K163" i="1"/>
  <c r="L163" i="1" s="1"/>
  <c r="K164" i="1"/>
  <c r="L164" i="1" s="1"/>
  <c r="K165" i="1"/>
  <c r="L165" i="1" s="1"/>
  <c r="K166" i="1"/>
  <c r="L166" i="1" s="1"/>
  <c r="K167" i="1"/>
  <c r="L167" i="1" s="1"/>
  <c r="K168" i="1"/>
  <c r="L168" i="1" s="1"/>
  <c r="K169" i="1"/>
  <c r="L169" i="1" s="1"/>
  <c r="K170" i="1"/>
  <c r="L170" i="1" s="1"/>
  <c r="K171" i="1"/>
  <c r="L171" i="1" s="1"/>
  <c r="K172" i="1"/>
  <c r="L172" i="1" s="1"/>
  <c r="K173" i="1"/>
  <c r="L173" i="1" s="1"/>
  <c r="K174" i="1"/>
  <c r="L174" i="1" s="1"/>
  <c r="K175" i="1"/>
  <c r="L175" i="1" s="1"/>
  <c r="K176" i="1"/>
  <c r="L176" i="1" s="1"/>
  <c r="K177" i="1"/>
  <c r="L177" i="1" s="1"/>
  <c r="K178" i="1"/>
  <c r="L178" i="1" s="1"/>
  <c r="K179" i="1"/>
  <c r="L179" i="1" s="1"/>
  <c r="K180" i="1"/>
  <c r="L180" i="1" s="1"/>
  <c r="K181" i="1"/>
  <c r="L181" i="1" s="1"/>
  <c r="K182" i="1"/>
  <c r="L182" i="1" s="1"/>
  <c r="K183" i="1"/>
  <c r="L183" i="1" s="1"/>
  <c r="K184" i="1"/>
  <c r="L184" i="1" s="1"/>
  <c r="K185" i="1"/>
  <c r="L185" i="1" s="1"/>
  <c r="K186" i="1"/>
  <c r="L186" i="1" s="1"/>
  <c r="K187" i="1"/>
  <c r="L187" i="1" s="1"/>
  <c r="K188" i="1"/>
  <c r="L188" i="1" s="1"/>
  <c r="K189" i="1"/>
  <c r="L189" i="1" s="1"/>
  <c r="K190" i="1"/>
  <c r="L190" i="1" s="1"/>
  <c r="K191" i="1"/>
  <c r="L191" i="1" s="1"/>
  <c r="K192" i="1"/>
  <c r="L192" i="1" s="1"/>
  <c r="K193" i="1"/>
  <c r="L193" i="1" s="1"/>
  <c r="K194" i="1"/>
  <c r="L194" i="1" s="1"/>
  <c r="K195" i="1"/>
  <c r="L195" i="1" s="1"/>
  <c r="K196" i="1"/>
  <c r="L196" i="1" s="1"/>
  <c r="K197" i="1"/>
  <c r="L197" i="1" s="1"/>
  <c r="K198" i="1"/>
  <c r="L198" i="1" s="1"/>
  <c r="K199" i="1"/>
  <c r="L199" i="1" s="1"/>
  <c r="K200" i="1"/>
  <c r="L200" i="1" s="1"/>
  <c r="K201" i="1"/>
  <c r="L201" i="1" s="1"/>
  <c r="K202" i="1"/>
  <c r="L202" i="1" s="1"/>
  <c r="K203" i="1"/>
  <c r="L203" i="1" s="1"/>
  <c r="K204" i="1"/>
  <c r="L204" i="1" s="1"/>
  <c r="K205" i="1"/>
  <c r="L205" i="1" s="1"/>
  <c r="K206" i="1"/>
  <c r="L206" i="1" s="1"/>
  <c r="K207" i="1"/>
  <c r="L207" i="1" s="1"/>
  <c r="K208" i="1"/>
  <c r="L208" i="1" s="1"/>
  <c r="K209" i="1"/>
  <c r="L209" i="1" s="1"/>
  <c r="K210" i="1"/>
  <c r="L210" i="1" s="1"/>
  <c r="K211" i="1"/>
  <c r="L211" i="1" s="1"/>
  <c r="K212" i="1"/>
  <c r="L212" i="1" s="1"/>
  <c r="K213" i="1"/>
  <c r="L213" i="1" s="1"/>
  <c r="K214" i="1"/>
  <c r="L214" i="1" s="1"/>
  <c r="K215" i="1"/>
  <c r="L215" i="1" s="1"/>
  <c r="K216" i="1"/>
  <c r="L216" i="1" s="1"/>
  <c r="K217" i="1"/>
  <c r="L217" i="1" s="1"/>
  <c r="K218" i="1"/>
  <c r="L218" i="1" s="1"/>
  <c r="K219" i="1"/>
  <c r="L219" i="1" s="1"/>
  <c r="K220" i="1"/>
  <c r="L220" i="1" s="1"/>
  <c r="K221" i="1"/>
  <c r="L221" i="1" s="1"/>
  <c r="K222" i="1"/>
  <c r="L222" i="1" s="1"/>
  <c r="K223" i="1"/>
  <c r="L223" i="1" s="1"/>
  <c r="K224" i="1"/>
  <c r="L224" i="1" s="1"/>
  <c r="K225" i="1"/>
  <c r="L225" i="1" s="1"/>
  <c r="K226" i="1"/>
  <c r="L226" i="1" s="1"/>
  <c r="K227" i="1"/>
  <c r="L227" i="1" s="1"/>
  <c r="K228" i="1"/>
  <c r="L228" i="1" s="1"/>
  <c r="K229" i="1"/>
  <c r="L229" i="1" s="1"/>
  <c r="K230" i="1"/>
  <c r="L230" i="1" s="1"/>
  <c r="K231" i="1"/>
  <c r="L231" i="1" s="1"/>
  <c r="K232" i="1"/>
  <c r="L232" i="1" s="1"/>
  <c r="K233" i="1"/>
  <c r="L233" i="1" s="1"/>
  <c r="K234" i="1"/>
  <c r="L234" i="1" s="1"/>
  <c r="K235" i="1"/>
  <c r="L235" i="1" s="1"/>
  <c r="K236" i="1"/>
  <c r="L236" i="1" s="1"/>
  <c r="K237" i="1"/>
  <c r="L237" i="1" s="1"/>
  <c r="K238" i="1"/>
  <c r="L238" i="1" s="1"/>
  <c r="K239" i="1"/>
  <c r="L239" i="1" s="1"/>
  <c r="K240" i="1"/>
  <c r="L240" i="1" s="1"/>
  <c r="K241" i="1"/>
  <c r="L241" i="1" s="1"/>
  <c r="K242" i="1"/>
  <c r="L242" i="1" s="1"/>
  <c r="K243" i="1"/>
  <c r="L243" i="1" s="1"/>
  <c r="K244" i="1"/>
  <c r="L244" i="1" s="1"/>
  <c r="K245" i="1"/>
  <c r="L245" i="1" s="1"/>
  <c r="K246" i="1"/>
  <c r="L246" i="1" s="1"/>
  <c r="K247" i="1"/>
  <c r="L247" i="1" s="1"/>
  <c r="K248" i="1"/>
  <c r="L248" i="1" s="1"/>
  <c r="K249" i="1"/>
  <c r="L249" i="1" s="1"/>
  <c r="K250" i="1"/>
  <c r="L250" i="1" s="1"/>
  <c r="K251" i="1"/>
  <c r="L251" i="1" s="1"/>
  <c r="K252" i="1"/>
  <c r="L252" i="1" s="1"/>
  <c r="K253" i="1"/>
  <c r="L253" i="1" s="1"/>
  <c r="K254" i="1"/>
  <c r="L254" i="1" s="1"/>
  <c r="K255" i="1"/>
  <c r="L255" i="1" s="1"/>
  <c r="K256" i="1"/>
  <c r="L256" i="1" s="1"/>
  <c r="K257" i="1"/>
  <c r="L257" i="1" s="1"/>
  <c r="K258" i="1"/>
  <c r="L258" i="1" s="1"/>
  <c r="K259" i="1"/>
  <c r="L259" i="1" s="1"/>
  <c r="K260" i="1"/>
  <c r="L260" i="1" s="1"/>
  <c r="K261" i="1"/>
  <c r="L261" i="1" s="1"/>
  <c r="K262" i="1"/>
  <c r="L262" i="1" s="1"/>
  <c r="K263" i="1"/>
  <c r="L263" i="1" s="1"/>
  <c r="K264" i="1"/>
  <c r="L264" i="1" s="1"/>
  <c r="K265" i="1"/>
  <c r="L265" i="1" s="1"/>
  <c r="K266" i="1"/>
  <c r="L266" i="1" s="1"/>
  <c r="K267" i="1"/>
  <c r="L267" i="1" s="1"/>
  <c r="K268" i="1"/>
  <c r="L268" i="1" s="1"/>
  <c r="K269" i="1"/>
  <c r="L269" i="1" s="1"/>
  <c r="K270" i="1"/>
  <c r="L270" i="1" s="1"/>
  <c r="K271" i="1"/>
  <c r="L271" i="1" s="1"/>
  <c r="K272" i="1"/>
  <c r="L272" i="1" s="1"/>
  <c r="K273" i="1"/>
  <c r="L273" i="1" s="1"/>
  <c r="K274" i="1"/>
  <c r="L274" i="1" s="1"/>
  <c r="K275" i="1"/>
  <c r="L275" i="1" s="1"/>
  <c r="K276" i="1"/>
  <c r="L276" i="1" s="1"/>
  <c r="K277" i="1"/>
  <c r="L277" i="1" s="1"/>
  <c r="K278" i="1"/>
  <c r="L278" i="1" s="1"/>
  <c r="K279" i="1"/>
  <c r="L279" i="1" s="1"/>
  <c r="K280" i="1"/>
  <c r="L280" i="1" s="1"/>
  <c r="K281" i="1"/>
  <c r="L281" i="1" s="1"/>
  <c r="K282" i="1"/>
  <c r="L282" i="1" s="1"/>
  <c r="K283" i="1"/>
  <c r="L283" i="1" s="1"/>
  <c r="K284" i="1"/>
  <c r="L284" i="1" s="1"/>
  <c r="K285" i="1"/>
  <c r="L285" i="1" s="1"/>
  <c r="K286" i="1"/>
  <c r="L286" i="1" s="1"/>
  <c r="K287" i="1"/>
  <c r="L287" i="1" s="1"/>
  <c r="K288" i="1"/>
  <c r="L288" i="1" s="1"/>
  <c r="K289" i="1"/>
  <c r="L289" i="1" s="1"/>
  <c r="K290" i="1"/>
  <c r="L290" i="1" s="1"/>
  <c r="K291" i="1"/>
  <c r="L291" i="1" s="1"/>
  <c r="K292" i="1"/>
  <c r="L292" i="1" s="1"/>
  <c r="K293" i="1"/>
  <c r="L293" i="1" s="1"/>
  <c r="K294" i="1"/>
  <c r="L294" i="1" s="1"/>
  <c r="K295" i="1"/>
  <c r="L295" i="1" s="1"/>
  <c r="K296" i="1"/>
  <c r="L296" i="1" s="1"/>
  <c r="K297" i="1"/>
  <c r="L297" i="1" s="1"/>
  <c r="K298" i="1"/>
  <c r="L298" i="1" s="1"/>
  <c r="K299" i="1"/>
  <c r="L299" i="1" s="1"/>
  <c r="K300" i="1"/>
  <c r="L300" i="1" s="1"/>
  <c r="K301" i="1"/>
  <c r="L301" i="1" s="1"/>
  <c r="K302" i="1"/>
  <c r="L302" i="1" s="1"/>
  <c r="K303" i="1"/>
  <c r="L303" i="1" s="1"/>
  <c r="K304" i="1"/>
  <c r="L304" i="1" s="1"/>
  <c r="K305" i="1"/>
  <c r="L305" i="1" s="1"/>
  <c r="K306" i="1"/>
  <c r="L306" i="1" s="1"/>
  <c r="K307" i="1"/>
  <c r="L307" i="1" s="1"/>
  <c r="K308" i="1"/>
  <c r="L308" i="1" s="1"/>
  <c r="K309" i="1"/>
  <c r="L309" i="1" s="1"/>
  <c r="K310" i="1"/>
  <c r="L310" i="1" s="1"/>
  <c r="K311" i="1"/>
  <c r="L311" i="1" s="1"/>
  <c r="K312" i="1"/>
  <c r="L312" i="1" s="1"/>
  <c r="K313" i="1"/>
  <c r="L313" i="1" s="1"/>
  <c r="K314" i="1"/>
  <c r="L314" i="1" s="1"/>
  <c r="K315" i="1"/>
  <c r="L315" i="1" s="1"/>
  <c r="K316" i="1"/>
  <c r="L316" i="1" s="1"/>
  <c r="K317" i="1"/>
  <c r="L317" i="1" s="1"/>
  <c r="K318" i="1"/>
  <c r="L318" i="1" s="1"/>
  <c r="K319" i="1"/>
  <c r="L319" i="1" s="1"/>
  <c r="K320" i="1"/>
  <c r="L320" i="1" s="1"/>
  <c r="K321" i="1"/>
  <c r="L321" i="1" s="1"/>
  <c r="K322" i="1"/>
  <c r="L322" i="1" s="1"/>
  <c r="K323" i="1"/>
  <c r="L323" i="1" s="1"/>
  <c r="K324" i="1"/>
  <c r="L324" i="1" s="1"/>
  <c r="K325" i="1"/>
  <c r="L325" i="1" s="1"/>
  <c r="K326" i="1"/>
  <c r="L326" i="1" s="1"/>
  <c r="K327" i="1"/>
  <c r="L327" i="1" s="1"/>
  <c r="K328" i="1"/>
  <c r="L328" i="1" s="1"/>
  <c r="K329" i="1"/>
  <c r="L329" i="1" s="1"/>
  <c r="K330" i="1"/>
  <c r="L330" i="1" s="1"/>
  <c r="K331" i="1"/>
  <c r="L331" i="1" s="1"/>
  <c r="K332" i="1"/>
  <c r="L332" i="1" s="1"/>
  <c r="K333" i="1"/>
  <c r="L333" i="1" s="1"/>
  <c r="K334" i="1"/>
  <c r="L334" i="1" s="1"/>
  <c r="K335" i="1"/>
  <c r="L335" i="1" s="1"/>
  <c r="K336" i="1"/>
  <c r="L336" i="1" s="1"/>
  <c r="K337" i="1"/>
  <c r="L337" i="1" s="1"/>
  <c r="K338" i="1"/>
  <c r="L338" i="1" s="1"/>
  <c r="K339" i="1"/>
  <c r="L339" i="1" s="1"/>
  <c r="K340" i="1"/>
  <c r="L340" i="1" s="1"/>
  <c r="K341" i="1"/>
  <c r="L341" i="1" s="1"/>
  <c r="K342" i="1"/>
  <c r="L342" i="1" s="1"/>
  <c r="K343" i="1"/>
  <c r="L343" i="1" s="1"/>
  <c r="K344" i="1"/>
  <c r="L344" i="1" s="1"/>
  <c r="K345" i="1"/>
  <c r="L345" i="1" s="1"/>
  <c r="K346" i="1"/>
  <c r="L346" i="1" s="1"/>
  <c r="K347" i="1"/>
  <c r="L347" i="1" s="1"/>
  <c r="K348" i="1"/>
  <c r="L348" i="1" s="1"/>
  <c r="K349" i="1"/>
  <c r="L349" i="1" s="1"/>
  <c r="K350" i="1"/>
  <c r="L350" i="1" s="1"/>
  <c r="K351" i="1"/>
  <c r="L351" i="1" s="1"/>
  <c r="K352" i="1"/>
  <c r="L352" i="1" s="1"/>
  <c r="K353" i="1"/>
  <c r="L353" i="1" s="1"/>
  <c r="K354" i="1"/>
  <c r="L354" i="1" s="1"/>
  <c r="K355" i="1"/>
  <c r="L355" i="1" s="1"/>
  <c r="K356" i="1"/>
  <c r="L356" i="1" s="1"/>
  <c r="K357" i="1"/>
  <c r="L357" i="1" s="1"/>
  <c r="K358" i="1"/>
  <c r="L358" i="1" s="1"/>
  <c r="K359" i="1"/>
  <c r="L359" i="1" s="1"/>
  <c r="K360" i="1"/>
  <c r="L360" i="1" s="1"/>
  <c r="K361" i="1"/>
  <c r="L361" i="1" s="1"/>
  <c r="K362" i="1"/>
  <c r="L362" i="1" s="1"/>
  <c r="K363" i="1"/>
  <c r="L363" i="1" s="1"/>
  <c r="K364" i="1"/>
  <c r="L364" i="1" s="1"/>
  <c r="K365" i="1"/>
  <c r="L365" i="1" s="1"/>
  <c r="K366" i="1"/>
  <c r="L366" i="1" s="1"/>
  <c r="K367" i="1"/>
  <c r="L367" i="1" s="1"/>
  <c r="K368" i="1"/>
  <c r="L368" i="1" s="1"/>
  <c r="K369" i="1"/>
  <c r="L369" i="1" s="1"/>
  <c r="K370" i="1"/>
  <c r="L370" i="1" s="1"/>
  <c r="K371" i="1"/>
  <c r="L371" i="1" s="1"/>
  <c r="K372" i="1"/>
  <c r="L372" i="1" s="1"/>
  <c r="K373" i="1"/>
  <c r="L373" i="1" s="1"/>
  <c r="K374" i="1"/>
  <c r="L374" i="1" s="1"/>
  <c r="K375" i="1"/>
  <c r="L375" i="1" s="1"/>
  <c r="K2" i="1"/>
  <c r="L2" i="1" s="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2" i="1"/>
</calcChain>
</file>

<file path=xl/sharedStrings.xml><?xml version="1.0" encoding="utf-8"?>
<sst xmlns="http://schemas.openxmlformats.org/spreadsheetml/2006/main" count="1938" uniqueCount="78">
  <si>
    <t>Person ID</t>
  </si>
  <si>
    <t>Gender</t>
  </si>
  <si>
    <t>Age</t>
  </si>
  <si>
    <t>Occupation</t>
  </si>
  <si>
    <t>Sleep Duration</t>
  </si>
  <si>
    <t>Quality of Sleep</t>
  </si>
  <si>
    <t>Physical Activity Level</t>
  </si>
  <si>
    <t>Stress Level</t>
  </si>
  <si>
    <t>BMI Category</t>
  </si>
  <si>
    <t>Blood Pressure</t>
  </si>
  <si>
    <t>Heart Rate</t>
  </si>
  <si>
    <t>Daily Steps</t>
  </si>
  <si>
    <t>Sleep Disorder</t>
  </si>
  <si>
    <t>Male</t>
  </si>
  <si>
    <t>Software Engineer</t>
  </si>
  <si>
    <t>Overweight</t>
  </si>
  <si>
    <t>126/83</t>
  </si>
  <si>
    <t>None</t>
  </si>
  <si>
    <t>Doctor</t>
  </si>
  <si>
    <t>Normal</t>
  </si>
  <si>
    <t>125/80</t>
  </si>
  <si>
    <t>Sales Representative</t>
  </si>
  <si>
    <t>Obese</t>
  </si>
  <si>
    <t>140/90</t>
  </si>
  <si>
    <t>Sleep Apnea</t>
  </si>
  <si>
    <t>Insomnia</t>
  </si>
  <si>
    <t>Teacher</t>
  </si>
  <si>
    <t>120/80</t>
  </si>
  <si>
    <t>Female</t>
  </si>
  <si>
    <t>Nurse</t>
  </si>
  <si>
    <t>132/87</t>
  </si>
  <si>
    <t>130/86</t>
  </si>
  <si>
    <t>117/76</t>
  </si>
  <si>
    <t>Engineer</t>
  </si>
  <si>
    <t>Accountant</t>
  </si>
  <si>
    <t>118/76</t>
  </si>
  <si>
    <t>Scientist</t>
  </si>
  <si>
    <t>128/85</t>
  </si>
  <si>
    <t>131/86</t>
  </si>
  <si>
    <t>128/84</t>
  </si>
  <si>
    <t>115/75</t>
  </si>
  <si>
    <t>Lawyer</t>
  </si>
  <si>
    <t>135/88</t>
  </si>
  <si>
    <t>129/84</t>
  </si>
  <si>
    <t>130/85</t>
  </si>
  <si>
    <t>115/78</t>
  </si>
  <si>
    <t>119/77</t>
  </si>
  <si>
    <t>121/79</t>
  </si>
  <si>
    <t>125/82</t>
  </si>
  <si>
    <t>Salesperson</t>
  </si>
  <si>
    <t>135/90</t>
  </si>
  <si>
    <t>122/80</t>
  </si>
  <si>
    <t>Manager</t>
  </si>
  <si>
    <t>142/92</t>
  </si>
  <si>
    <t>140/95</t>
  </si>
  <si>
    <t>139/91</t>
  </si>
  <si>
    <t>118/75</t>
  </si>
  <si>
    <t>Sleep duration group</t>
  </si>
  <si>
    <t>PAL Range</t>
  </si>
  <si>
    <t>Lifestyle</t>
  </si>
  <si>
    <t>Steps group</t>
  </si>
  <si>
    <t>Quality group</t>
  </si>
  <si>
    <t>Row Labels</t>
  </si>
  <si>
    <t>(All)</t>
  </si>
  <si>
    <t>Good</t>
  </si>
  <si>
    <t>Poor</t>
  </si>
  <si>
    <t>Average of Sleep Duration</t>
  </si>
  <si>
    <t>Active</t>
  </si>
  <si>
    <t>Highly Active</t>
  </si>
  <si>
    <t>Sedentary</t>
  </si>
  <si>
    <t>Age Group</t>
  </si>
  <si>
    <t>20's</t>
  </si>
  <si>
    <t>30's</t>
  </si>
  <si>
    <t>40's</t>
  </si>
  <si>
    <t>50's</t>
  </si>
  <si>
    <t>Column Labels</t>
  </si>
  <si>
    <t>Count of Person ID</t>
  </si>
  <si>
    <t>Average of Stress Level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</si>
</sst>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Border="1" applyAlignment="1" applyProtection="1">
      <alignment vertical="center"/>
    </xf>
    <xf numFmtId="0" fontId="0" fillId="33" borderId="0" xfId="0" applyFill="1" applyBorder="1" applyProtection="1"/>
    <xf numFmtId="0" fontId="0" fillId="33" borderId="0" xfId="0" applyFill="1" applyProtecti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numFmt numFmtId="164" formatCode="0.0"/>
    </dxf>
    <dxf>
      <numFmt numFmtId="164" formatCode="0.0"/>
    </dxf>
    <dxf>
      <numFmt numFmtId="164" formatCode="0.0"/>
    </dxf>
  </dxfs>
  <tableStyles count="0" defaultTableStyle="TableStyleMedium2" defaultPivotStyle="PivotStyleLight16"/>
  <colors>
    <mruColors>
      <color rgb="FF2F8D7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26"/>
    </mc:Choice>
    <mc:Fallback>
      <c:style val="26"/>
    </mc:Fallback>
  </mc:AlternateContent>
  <c:pivotSource>
    <c:name>[Sleep_health_and_lifestyle_dataset.xlsx]Pivot Table!Sleep quality &amp; avg sleep duration</c:name>
    <c:fmtId val="2"/>
  </c:pivotSource>
  <c:chart>
    <c:title>
      <c:tx>
        <c:rich>
          <a:bodyPr/>
          <a:lstStyle/>
          <a:p>
            <a:pPr>
              <a:defRPr sz="1600"/>
            </a:pPr>
            <a:r>
              <a:rPr lang="en-US" sz="1600"/>
              <a:t>Average Sleep</a:t>
            </a:r>
            <a:r>
              <a:rPr lang="en-US" sz="1600" baseline="0"/>
              <a:t> Duration &amp; Quality</a:t>
            </a:r>
            <a:endParaRPr lang="en-US" sz="1600"/>
          </a:p>
        </c:rich>
      </c:tx>
      <c:layout/>
      <c:overlay val="0"/>
    </c:title>
    <c:autoTitleDeleted val="0"/>
    <c:pivotFmts>
      <c:pivotFmt>
        <c:idx val="0"/>
        <c:dLbl>
          <c:idx val="0"/>
          <c:dLblPos val="outEnd"/>
          <c:showLegendKey val="0"/>
          <c:showVal val="1"/>
          <c:showCatName val="1"/>
          <c:showSerName val="0"/>
          <c:showPercent val="0"/>
          <c:showBubbleSize val="0"/>
          <c:separator>
</c:separator>
        </c:dLbl>
      </c:pivotFmt>
      <c:pivotFmt>
        <c:idx val="1"/>
        <c:marker>
          <c:symbol val="none"/>
        </c:marker>
        <c:dLbl>
          <c:idx val="0"/>
          <c:numFmt formatCode="0.0" sourceLinked="0"/>
          <c:spPr/>
          <c:txPr>
            <a:bodyPr/>
            <a:lstStyle/>
            <a:p>
              <a:pPr>
                <a:defRPr b="1" i="1"/>
              </a:pPr>
              <a:endParaRPr lang="en-US"/>
            </a:p>
          </c:txPr>
          <c:dLblPos val="outEnd"/>
          <c:showLegendKey val="0"/>
          <c:showVal val="1"/>
          <c:showCatName val="1"/>
          <c:showSerName val="0"/>
          <c:showPercent val="0"/>
          <c:showBubbleSize val="0"/>
          <c:separator>
</c:separator>
        </c:dLbl>
      </c:pivotFmt>
      <c:pivotFmt>
        <c:idx val="2"/>
        <c:marker>
          <c:symbol val="none"/>
        </c:marker>
        <c:dLbl>
          <c:idx val="0"/>
          <c:layout/>
          <c:numFmt formatCode="0.0" sourceLinked="0"/>
          <c:spPr/>
          <c:txPr>
            <a:bodyPr/>
            <a:lstStyle/>
            <a:p>
              <a:pPr>
                <a:defRPr b="1" i="1"/>
              </a:pPr>
              <a:endParaRPr lang="en-US"/>
            </a:p>
          </c:txPr>
          <c:dLblPos val="inEnd"/>
          <c:showLegendKey val="0"/>
          <c:showVal val="1"/>
          <c:showCatName val="1"/>
          <c:showSerName val="0"/>
          <c:showPercent val="0"/>
          <c:showBubbleSize val="0"/>
          <c:separator>
</c:separator>
        </c:dLbl>
      </c:pivotFmt>
    </c:pivotFmts>
    <c:plotArea>
      <c:layout/>
      <c:pieChart>
        <c:varyColors val="1"/>
        <c:ser>
          <c:idx val="0"/>
          <c:order val="0"/>
          <c:tx>
            <c:strRef>
              <c:f>'Pivot Table'!$B$3</c:f>
              <c:strCache>
                <c:ptCount val="1"/>
                <c:pt idx="0">
                  <c:v>Total</c:v>
                </c:pt>
              </c:strCache>
            </c:strRef>
          </c:tx>
          <c:dLbls>
            <c:numFmt formatCode="0.0" sourceLinked="0"/>
            <c:spPr/>
            <c:txPr>
              <a:bodyPr/>
              <a:lstStyle/>
              <a:p>
                <a:pPr>
                  <a:defRPr b="1" i="1"/>
                </a:pPr>
                <a:endParaRPr lang="en-US"/>
              </a:p>
            </c:txPr>
            <c:dLblPos val="inEnd"/>
            <c:showLegendKey val="0"/>
            <c:showVal val="1"/>
            <c:showCatName val="1"/>
            <c:showSerName val="0"/>
            <c:showPercent val="0"/>
            <c:showBubbleSize val="0"/>
            <c:separator>
</c:separator>
            <c:showLeaderLines val="1"/>
          </c:dLbls>
          <c:cat>
            <c:strRef>
              <c:f>'Pivot Table'!$A$4:$A$5</c:f>
              <c:strCache>
                <c:ptCount val="2"/>
                <c:pt idx="0">
                  <c:v>Good</c:v>
                </c:pt>
                <c:pt idx="1">
                  <c:v>Poor</c:v>
                </c:pt>
              </c:strCache>
            </c:strRef>
          </c:cat>
          <c:val>
            <c:numRef>
              <c:f>'Pivot Table'!$B$4:$B$5</c:f>
              <c:numCache>
                <c:formatCode>General</c:formatCode>
                <c:ptCount val="2"/>
                <c:pt idx="0">
                  <c:v>7.1493224932249237</c:v>
                </c:pt>
                <c:pt idx="1">
                  <c:v>5.8600000000000012</c:v>
                </c:pt>
              </c:numCache>
            </c:numRef>
          </c:val>
        </c:ser>
        <c:dLbls>
          <c:showLegendKey val="0"/>
          <c:showVal val="1"/>
          <c:showCatName val="1"/>
          <c:showSerName val="0"/>
          <c:showPercent val="0"/>
          <c:showBubbleSize val="0"/>
          <c:showLeaderLines val="1"/>
        </c:dLbls>
        <c:firstSliceAng val="0"/>
      </c:pieChart>
    </c:plotArea>
    <c:plotVisOnly val="1"/>
    <c:dispBlanksAs val="gap"/>
    <c:showDLblsOverMax val="0"/>
  </c:chart>
  <c:spPr>
    <a:solidFill>
      <a:schemeClr val="accent1">
        <a:lumMod val="40000"/>
        <a:lumOff val="60000"/>
      </a:schemeClr>
    </a:solidFill>
    <a:ln>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[Sleep_health_and_lifestyle_dataset.xlsx]Pivot Table!Lifestyle VS slee</c:name>
    <c:fmtId val="6"/>
  </c:pivotSource>
  <c:chart>
    <c:title>
      <c:tx>
        <c:rich>
          <a:bodyPr/>
          <a:lstStyle/>
          <a:p>
            <a:pPr>
              <a:defRPr/>
            </a:pPr>
            <a:r>
              <a:rPr lang="en-US"/>
              <a:t> Lifestyle &amp; Avg Sleep Duration</a:t>
            </a:r>
          </a:p>
        </c:rich>
      </c:tx>
      <c:layout>
        <c:manualLayout>
          <c:xMode val="edge"/>
          <c:yMode val="edge"/>
          <c:x val="0.16937462588476829"/>
          <c:y val="2.7777705472766319E-2"/>
        </c:manualLayout>
      </c:layout>
      <c:overlay val="0"/>
    </c:title>
    <c:autoTitleDeleted val="0"/>
    <c:pivotFmts>
      <c:pivotFmt>
        <c:idx val="0"/>
        <c:dLbl>
          <c:idx val="0"/>
          <c:showLegendKey val="0"/>
          <c:showVal val="1"/>
          <c:showCatName val="0"/>
          <c:showSerName val="0"/>
          <c:showPercent val="0"/>
          <c:showBubbleSize val="0"/>
        </c:dLbl>
      </c:pivotFmt>
      <c:pivotFmt>
        <c:idx val="1"/>
        <c:dLbl>
          <c:idx val="0"/>
          <c:showLegendKey val="0"/>
          <c:showVal val="1"/>
          <c:showCatName val="0"/>
          <c:showSerName val="0"/>
          <c:showPercent val="0"/>
          <c:showBubbleSize val="0"/>
        </c:dLbl>
      </c:pivotFmt>
      <c:pivotFmt>
        <c:idx val="2"/>
      </c:pivotFmt>
      <c:pivotFmt>
        <c:idx val="3"/>
      </c:pivotFmt>
      <c:pivotFmt>
        <c:idx val="4"/>
        <c:marker>
          <c:symbol val="none"/>
        </c:marker>
        <c:dLbl>
          <c:idx val="0"/>
          <c:spPr/>
          <c:txPr>
            <a:bodyPr/>
            <a:lstStyle/>
            <a:p>
              <a:pPr>
                <a:defRPr/>
              </a:pPr>
              <a:endParaRPr lang="en-US"/>
            </a:p>
          </c:txPr>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marker>
          <c:symbol val="none"/>
        </c:marker>
        <c:dLbl>
          <c:idx val="0"/>
          <c:spPr/>
          <c:txPr>
            <a:bodyPr/>
            <a:lstStyle/>
            <a:p>
              <a:pPr>
                <a:defRPr/>
              </a:pPr>
              <a:endParaRPr lang="en-US"/>
            </a:p>
          </c:txPr>
          <c:showLegendKey val="0"/>
          <c:showVal val="1"/>
          <c:showCatName val="0"/>
          <c:showSerName val="0"/>
          <c:showPercent val="0"/>
          <c:showBubbleSize val="0"/>
        </c:dLbl>
      </c:pivotFmt>
      <c:pivotFmt>
        <c:idx val="7"/>
        <c:marker>
          <c:symbol val="none"/>
        </c:marker>
        <c:dLbl>
          <c:idx val="0"/>
          <c:layout/>
          <c:spPr/>
          <c:txPr>
            <a:bodyPr/>
            <a:lstStyle/>
            <a:p>
              <a:pPr>
                <a:defRPr b="1"/>
              </a:pPr>
              <a:endParaRPr lang="en-US"/>
            </a:p>
          </c:txPr>
          <c:showLegendKey val="0"/>
          <c:showVal val="1"/>
          <c:showCatName val="0"/>
          <c:showSerName val="0"/>
          <c:showPercent val="0"/>
          <c:showBubbleSize val="0"/>
        </c:dLbl>
      </c:pivotFmt>
      <c:pivotFmt>
        <c:idx val="8"/>
        <c:dLbl>
          <c:idx val="0"/>
          <c:layout>
            <c:manualLayout>
              <c:x val="0"/>
              <c:y val="2.2038567493112948E-2"/>
            </c:manualLayout>
          </c:layout>
          <c:showLegendKey val="0"/>
          <c:showVal val="1"/>
          <c:showCatName val="0"/>
          <c:showSerName val="0"/>
          <c:showPercent val="0"/>
          <c:showBubbleSize val="0"/>
        </c:dLbl>
      </c:pivotFmt>
    </c:pivotFmts>
    <c:plotArea>
      <c:layout>
        <c:manualLayout>
          <c:layoutTarget val="inner"/>
          <c:xMode val="edge"/>
          <c:yMode val="edge"/>
          <c:x val="3.0330880157850845E-2"/>
          <c:y val="0.35234159779614327"/>
          <c:w val="0.9393382396842983"/>
          <c:h val="0.50963276284679293"/>
        </c:manualLayout>
      </c:layout>
      <c:barChart>
        <c:barDir val="col"/>
        <c:grouping val="clustered"/>
        <c:varyColors val="0"/>
        <c:ser>
          <c:idx val="0"/>
          <c:order val="0"/>
          <c:tx>
            <c:strRef>
              <c:f>'Pivot Table'!$F$3</c:f>
              <c:strCache>
                <c:ptCount val="1"/>
                <c:pt idx="0">
                  <c:v>Total</c:v>
                </c:pt>
              </c:strCache>
            </c:strRef>
          </c:tx>
          <c:invertIfNegative val="0"/>
          <c:dLbls>
            <c:dLbl>
              <c:idx val="1"/>
              <c:layout>
                <c:manualLayout>
                  <c:x val="0"/>
                  <c:y val="2.2038567493112948E-2"/>
                </c:manualLayout>
              </c:layout>
              <c:showLegendKey val="0"/>
              <c:showVal val="1"/>
              <c:showCatName val="0"/>
              <c:showSerName val="0"/>
              <c:showPercent val="0"/>
              <c:showBubbleSize val="0"/>
            </c:dLbl>
            <c:spPr/>
            <c:txPr>
              <a:bodyPr/>
              <a:lstStyle/>
              <a:p>
                <a:pPr>
                  <a:defRPr b="1"/>
                </a:pPr>
                <a:endParaRPr lang="en-US"/>
              </a:p>
            </c:txPr>
            <c:showLegendKey val="0"/>
            <c:showVal val="1"/>
            <c:showCatName val="0"/>
            <c:showSerName val="0"/>
            <c:showPercent val="0"/>
            <c:showBubbleSize val="0"/>
            <c:showLeaderLines val="0"/>
          </c:dLbls>
          <c:cat>
            <c:strRef>
              <c:f>'Pivot Table'!$E$4:$E$6</c:f>
              <c:strCache>
                <c:ptCount val="3"/>
                <c:pt idx="0">
                  <c:v>Active</c:v>
                </c:pt>
                <c:pt idx="1">
                  <c:v>Highly Active</c:v>
                </c:pt>
                <c:pt idx="2">
                  <c:v>Sedentary</c:v>
                </c:pt>
              </c:strCache>
            </c:strRef>
          </c:cat>
          <c:val>
            <c:numRef>
              <c:f>'Pivot Table'!$F$4:$F$6</c:f>
              <c:numCache>
                <c:formatCode>0.0</c:formatCode>
                <c:ptCount val="3"/>
                <c:pt idx="0">
                  <c:v>6.5253521126760603</c:v>
                </c:pt>
                <c:pt idx="1">
                  <c:v>7.3484304932735354</c:v>
                </c:pt>
                <c:pt idx="2">
                  <c:v>7.0674999999999972</c:v>
                </c:pt>
              </c:numCache>
            </c:numRef>
          </c:val>
        </c:ser>
        <c:dLbls>
          <c:showLegendKey val="0"/>
          <c:showVal val="1"/>
          <c:showCatName val="0"/>
          <c:showSerName val="0"/>
          <c:showPercent val="0"/>
          <c:showBubbleSize val="0"/>
        </c:dLbls>
        <c:gapWidth val="150"/>
        <c:overlap val="-25"/>
        <c:axId val="174902272"/>
        <c:axId val="239675264"/>
      </c:barChart>
      <c:catAx>
        <c:axId val="174902272"/>
        <c:scaling>
          <c:orientation val="minMax"/>
        </c:scaling>
        <c:delete val="0"/>
        <c:axPos val="b"/>
        <c:majorTickMark val="none"/>
        <c:minorTickMark val="none"/>
        <c:tickLblPos val="nextTo"/>
        <c:txPr>
          <a:bodyPr/>
          <a:lstStyle/>
          <a:p>
            <a:pPr>
              <a:defRPr sz="1100"/>
            </a:pPr>
            <a:endParaRPr lang="en-US"/>
          </a:p>
        </c:txPr>
        <c:crossAx val="239675264"/>
        <c:crosses val="autoZero"/>
        <c:auto val="1"/>
        <c:lblAlgn val="ctr"/>
        <c:lblOffset val="100"/>
        <c:noMultiLvlLbl val="0"/>
      </c:catAx>
      <c:valAx>
        <c:axId val="239675264"/>
        <c:scaling>
          <c:orientation val="minMax"/>
        </c:scaling>
        <c:delete val="1"/>
        <c:axPos val="l"/>
        <c:numFmt formatCode="0.0" sourceLinked="1"/>
        <c:majorTickMark val="none"/>
        <c:minorTickMark val="none"/>
        <c:tickLblPos val="nextTo"/>
        <c:crossAx val="174902272"/>
        <c:crosses val="autoZero"/>
        <c:crossBetween val="between"/>
      </c:valAx>
      <c:spPr>
        <a:solidFill>
          <a:schemeClr val="accent2">
            <a:lumMod val="60000"/>
            <a:lumOff val="40000"/>
          </a:schemeClr>
        </a:solidFill>
      </c:spPr>
    </c:plotArea>
    <c:plotVisOnly val="1"/>
    <c:dispBlanksAs val="gap"/>
    <c:showDLblsOverMax val="0"/>
  </c:chart>
  <c:spPr>
    <a:solidFill>
      <a:schemeClr val="accent2">
        <a:lumMod val="60000"/>
        <a:lumOff val="40000"/>
      </a:schemeClr>
    </a:solidFill>
    <a:ln>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[Sleep_health_and_lifestyle_dataset.xlsx]Pivot Table!AGE GP &amp; BMI</c:name>
    <c:fmtId val="9"/>
  </c:pivotSource>
  <c:chart>
    <c:title>
      <c:tx>
        <c:rich>
          <a:bodyPr/>
          <a:lstStyle/>
          <a:p>
            <a:pPr>
              <a:defRPr/>
            </a:pPr>
            <a:r>
              <a:rPr lang="en-US"/>
              <a:t>Age Group &amp; BMI</a:t>
            </a:r>
          </a:p>
        </c:rich>
      </c:tx>
      <c:layout/>
      <c:overlay val="0"/>
    </c:title>
    <c:autoTitleDeleted val="0"/>
    <c:pivotFmts>
      <c:pivotFmt>
        <c:idx val="0"/>
        <c:dLbl>
          <c:idx val="0"/>
          <c:spPr/>
          <c:txPr>
            <a:bodyPr/>
            <a:lstStyle/>
            <a:p>
              <a:pPr>
                <a:defRPr/>
              </a:pPr>
              <a:endParaRPr lang="en-US"/>
            </a:p>
          </c:txPr>
          <c:dLblPos val="outEnd"/>
          <c:showLegendKey val="0"/>
          <c:showVal val="1"/>
          <c:showCatName val="0"/>
          <c:showSerName val="0"/>
          <c:showPercent val="0"/>
          <c:showBubbleSize val="0"/>
        </c:dLbl>
      </c:pivotFmt>
      <c:pivotFmt>
        <c:idx val="1"/>
        <c:dLbl>
          <c:idx val="0"/>
          <c:spPr/>
          <c:txPr>
            <a:bodyPr/>
            <a:lstStyle/>
            <a:p>
              <a:pPr>
                <a:defRPr/>
              </a:pPr>
              <a:endParaRPr lang="en-US"/>
            </a:p>
          </c:txPr>
          <c:dLblPos val="outEnd"/>
          <c:showLegendKey val="0"/>
          <c:showVal val="1"/>
          <c:showCatName val="0"/>
          <c:showSerName val="0"/>
          <c:showPercent val="0"/>
          <c:showBubbleSize val="0"/>
        </c:dLbl>
      </c:pivotFmt>
      <c:pivotFmt>
        <c:idx val="2"/>
        <c:dLbl>
          <c:idx val="0"/>
          <c:spPr/>
          <c:txPr>
            <a:bodyPr/>
            <a:lstStyle/>
            <a:p>
              <a:pPr>
                <a:defRPr/>
              </a:pPr>
              <a:endParaRPr lang="en-US"/>
            </a:p>
          </c:txPr>
          <c:dLblPos val="outEnd"/>
          <c:showLegendKey val="0"/>
          <c:showVal val="1"/>
          <c:showCatName val="0"/>
          <c:showSerName val="0"/>
          <c:showPercent val="0"/>
          <c:showBubbleSize val="0"/>
        </c:dLbl>
      </c:pivotFmt>
      <c:pivotFmt>
        <c:idx val="3"/>
        <c:dLbl>
          <c:idx val="0"/>
          <c:layout>
            <c:manualLayout>
              <c:x val="0"/>
              <c:y val="1.3888888888888911E-2"/>
            </c:manualLayout>
          </c:layout>
          <c:dLblPos val="outEnd"/>
          <c:showLegendKey val="0"/>
          <c:showVal val="1"/>
          <c:showCatName val="0"/>
          <c:showSerName val="0"/>
          <c:showPercent val="0"/>
          <c:showBubbleSize val="0"/>
        </c:dLbl>
      </c:pivotFmt>
      <c:pivotFmt>
        <c:idx val="4"/>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5"/>
        <c:dLbl>
          <c:idx val="0"/>
          <c:layout>
            <c:manualLayout>
              <c:x val="0"/>
              <c:y val="1.3888888888888911E-2"/>
            </c:manualLayout>
          </c:layout>
          <c:dLblPos val="outEnd"/>
          <c:showLegendKey val="0"/>
          <c:showVal val="1"/>
          <c:showCatName val="0"/>
          <c:showSerName val="0"/>
          <c:showPercent val="0"/>
          <c:showBubbleSize val="0"/>
        </c:dLbl>
      </c:pivotFmt>
      <c:pivotFmt>
        <c:idx val="6"/>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7"/>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8"/>
        <c:marker>
          <c:symbol val="none"/>
        </c:marker>
        <c:dLbl>
          <c:idx val="0"/>
          <c:layout/>
          <c:spPr/>
          <c:txPr>
            <a:bodyPr/>
            <a:lstStyle/>
            <a:p>
              <a:pPr>
                <a:defRPr b="1"/>
              </a:pPr>
              <a:endParaRPr lang="en-US"/>
            </a:p>
          </c:txPr>
          <c:dLblPos val="outEnd"/>
          <c:showLegendKey val="0"/>
          <c:showVal val="1"/>
          <c:showCatName val="0"/>
          <c:showSerName val="0"/>
          <c:showPercent val="0"/>
          <c:showBubbleSize val="0"/>
        </c:dLbl>
      </c:pivotFmt>
      <c:pivotFmt>
        <c:idx val="9"/>
        <c:dLbl>
          <c:idx val="0"/>
          <c:layout>
            <c:manualLayout>
              <c:x val="0"/>
              <c:y val="1.9115890083632042E-2"/>
            </c:manualLayout>
          </c:layout>
          <c:dLblPos val="outEnd"/>
          <c:showLegendKey val="0"/>
          <c:showVal val="1"/>
          <c:showCatName val="0"/>
          <c:showSerName val="0"/>
          <c:showPercent val="0"/>
          <c:showBubbleSize val="0"/>
        </c:dLbl>
      </c:pivotFmt>
      <c:pivotFmt>
        <c:idx val="10"/>
        <c:marker>
          <c:symbol val="none"/>
        </c:marker>
        <c:dLbl>
          <c:idx val="0"/>
          <c:layout/>
          <c:spPr/>
          <c:txPr>
            <a:bodyPr/>
            <a:lstStyle/>
            <a:p>
              <a:pPr>
                <a:defRPr b="1"/>
              </a:pPr>
              <a:endParaRPr lang="en-US"/>
            </a:p>
          </c:txPr>
          <c:dLblPos val="outEnd"/>
          <c:showLegendKey val="0"/>
          <c:showVal val="1"/>
          <c:showCatName val="0"/>
          <c:showSerName val="0"/>
          <c:showPercent val="0"/>
          <c:showBubbleSize val="0"/>
        </c:dLbl>
      </c:pivotFmt>
      <c:pivotFmt>
        <c:idx val="11"/>
        <c:marker>
          <c:symbol val="none"/>
        </c:marker>
        <c:dLbl>
          <c:idx val="0"/>
          <c:layout/>
          <c:spPr/>
          <c:txPr>
            <a:bodyPr/>
            <a:lstStyle/>
            <a:p>
              <a:pPr>
                <a:defRPr b="1"/>
              </a:pPr>
              <a:endParaRPr lang="en-US"/>
            </a:p>
          </c:txPr>
          <c:dLblPos val="outEnd"/>
          <c:showLegendKey val="0"/>
          <c:showVal val="1"/>
          <c:showCatName val="0"/>
          <c:showSerName val="0"/>
          <c:showPercent val="0"/>
          <c:showBubbleSize val="0"/>
        </c:dLbl>
      </c:pivotFmt>
      <c:pivotFmt>
        <c:idx val="12"/>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 Table'!$B$8:$B$9</c:f>
              <c:strCache>
                <c:ptCount val="1"/>
                <c:pt idx="0">
                  <c:v>Normal</c:v>
                </c:pt>
              </c:strCache>
            </c:strRef>
          </c:tx>
          <c:invertIfNegative val="0"/>
          <c:dLbls>
            <c:dLbl>
              <c:idx val="1"/>
              <c:layout>
                <c:manualLayout>
                  <c:x val="0"/>
                  <c:y val="1.9115890083632042E-2"/>
                </c:manualLayout>
              </c:layout>
              <c:dLblPos val="outEnd"/>
              <c:showLegendKey val="0"/>
              <c:showVal val="1"/>
              <c:showCatName val="0"/>
              <c:showSerName val="0"/>
              <c:showPercent val="0"/>
              <c:showBubbleSize val="0"/>
            </c:dLbl>
            <c:spPr/>
            <c:txPr>
              <a:bodyPr/>
              <a:lstStyle/>
              <a:p>
                <a:pPr>
                  <a:defRPr b="1"/>
                </a:pPr>
                <a:endParaRPr lang="en-US"/>
              </a:p>
            </c:txPr>
            <c:dLblPos val="outEnd"/>
            <c:showLegendKey val="0"/>
            <c:showVal val="1"/>
            <c:showCatName val="0"/>
            <c:showSerName val="0"/>
            <c:showPercent val="0"/>
            <c:showBubbleSize val="0"/>
            <c:showLeaderLines val="0"/>
          </c:dLbls>
          <c:cat>
            <c:strRef>
              <c:f>'Pivot Table'!$A$10:$A$13</c:f>
              <c:strCache>
                <c:ptCount val="4"/>
                <c:pt idx="0">
                  <c:v>20's</c:v>
                </c:pt>
                <c:pt idx="1">
                  <c:v>30's</c:v>
                </c:pt>
                <c:pt idx="2">
                  <c:v>40's</c:v>
                </c:pt>
                <c:pt idx="3">
                  <c:v>50's</c:v>
                </c:pt>
              </c:strCache>
            </c:strRef>
          </c:cat>
          <c:val>
            <c:numRef>
              <c:f>'Pivot Table'!$B$10:$B$13</c:f>
              <c:numCache>
                <c:formatCode>General</c:formatCode>
                <c:ptCount val="4"/>
                <c:pt idx="0">
                  <c:v>14</c:v>
                </c:pt>
                <c:pt idx="1">
                  <c:v>130</c:v>
                </c:pt>
                <c:pt idx="2">
                  <c:v>37</c:v>
                </c:pt>
                <c:pt idx="3">
                  <c:v>35</c:v>
                </c:pt>
              </c:numCache>
            </c:numRef>
          </c:val>
        </c:ser>
        <c:ser>
          <c:idx val="1"/>
          <c:order val="1"/>
          <c:tx>
            <c:strRef>
              <c:f>'Pivot Table'!$C$8:$C$9</c:f>
              <c:strCache>
                <c:ptCount val="1"/>
                <c:pt idx="0">
                  <c:v>Obese</c:v>
                </c:pt>
              </c:strCache>
            </c:strRef>
          </c:tx>
          <c:invertIfNegative val="0"/>
          <c:dLbls>
            <c:spPr/>
            <c:txPr>
              <a:bodyPr/>
              <a:lstStyle/>
              <a:p>
                <a:pPr>
                  <a:defRPr b="1"/>
                </a:pPr>
                <a:endParaRPr lang="en-US"/>
              </a:p>
            </c:txPr>
            <c:dLblPos val="outEnd"/>
            <c:showLegendKey val="0"/>
            <c:showVal val="1"/>
            <c:showCatName val="0"/>
            <c:showSerName val="0"/>
            <c:showPercent val="0"/>
            <c:showBubbleSize val="0"/>
            <c:showLeaderLines val="0"/>
          </c:dLbls>
          <c:cat>
            <c:strRef>
              <c:f>'Pivot Table'!$A$10:$A$13</c:f>
              <c:strCache>
                <c:ptCount val="4"/>
                <c:pt idx="0">
                  <c:v>20's</c:v>
                </c:pt>
                <c:pt idx="1">
                  <c:v>30's</c:v>
                </c:pt>
                <c:pt idx="2">
                  <c:v>40's</c:v>
                </c:pt>
                <c:pt idx="3">
                  <c:v>50's</c:v>
                </c:pt>
              </c:strCache>
            </c:strRef>
          </c:cat>
          <c:val>
            <c:numRef>
              <c:f>'Pivot Table'!$C$10:$C$13</c:f>
              <c:numCache>
                <c:formatCode>General</c:formatCode>
                <c:ptCount val="4"/>
                <c:pt idx="0">
                  <c:v>4</c:v>
                </c:pt>
                <c:pt idx="1">
                  <c:v>2</c:v>
                </c:pt>
                <c:pt idx="2">
                  <c:v>4</c:v>
                </c:pt>
              </c:numCache>
            </c:numRef>
          </c:val>
        </c:ser>
        <c:ser>
          <c:idx val="2"/>
          <c:order val="2"/>
          <c:tx>
            <c:strRef>
              <c:f>'Pivot Table'!$D$8:$D$9</c:f>
              <c:strCache>
                <c:ptCount val="1"/>
                <c:pt idx="0">
                  <c:v>Overweight</c:v>
                </c:pt>
              </c:strCache>
            </c:strRef>
          </c:tx>
          <c:invertIfNegative val="0"/>
          <c:dLbls>
            <c:spPr/>
            <c:txPr>
              <a:bodyPr/>
              <a:lstStyle/>
              <a:p>
                <a:pPr>
                  <a:defRPr b="1"/>
                </a:pPr>
                <a:endParaRPr lang="en-US"/>
              </a:p>
            </c:txPr>
            <c:dLblPos val="outEnd"/>
            <c:showLegendKey val="0"/>
            <c:showVal val="1"/>
            <c:showCatName val="0"/>
            <c:showSerName val="0"/>
            <c:showPercent val="0"/>
            <c:showBubbleSize val="0"/>
            <c:showLeaderLines val="0"/>
          </c:dLbls>
          <c:cat>
            <c:strRef>
              <c:f>'Pivot Table'!$A$10:$A$13</c:f>
              <c:strCache>
                <c:ptCount val="4"/>
                <c:pt idx="0">
                  <c:v>20's</c:v>
                </c:pt>
                <c:pt idx="1">
                  <c:v>30's</c:v>
                </c:pt>
                <c:pt idx="2">
                  <c:v>40's</c:v>
                </c:pt>
                <c:pt idx="3">
                  <c:v>50's</c:v>
                </c:pt>
              </c:strCache>
            </c:strRef>
          </c:cat>
          <c:val>
            <c:numRef>
              <c:f>'Pivot Table'!$D$10:$D$13</c:f>
              <c:numCache>
                <c:formatCode>General</c:formatCode>
                <c:ptCount val="4"/>
                <c:pt idx="0">
                  <c:v>1</c:v>
                </c:pt>
                <c:pt idx="1">
                  <c:v>10</c:v>
                </c:pt>
                <c:pt idx="2">
                  <c:v>76</c:v>
                </c:pt>
                <c:pt idx="3">
                  <c:v>61</c:v>
                </c:pt>
              </c:numCache>
            </c:numRef>
          </c:val>
        </c:ser>
        <c:dLbls>
          <c:dLblPos val="outEnd"/>
          <c:showLegendKey val="0"/>
          <c:showVal val="1"/>
          <c:showCatName val="0"/>
          <c:showSerName val="0"/>
          <c:showPercent val="0"/>
          <c:showBubbleSize val="0"/>
        </c:dLbls>
        <c:gapWidth val="75"/>
        <c:overlap val="-25"/>
        <c:axId val="240415104"/>
        <c:axId val="240416640"/>
      </c:barChart>
      <c:catAx>
        <c:axId val="240415104"/>
        <c:scaling>
          <c:orientation val="minMax"/>
        </c:scaling>
        <c:delete val="0"/>
        <c:axPos val="b"/>
        <c:majorTickMark val="none"/>
        <c:minorTickMark val="none"/>
        <c:tickLblPos val="nextTo"/>
        <c:crossAx val="240416640"/>
        <c:crosses val="autoZero"/>
        <c:auto val="1"/>
        <c:lblAlgn val="ctr"/>
        <c:lblOffset val="100"/>
        <c:noMultiLvlLbl val="0"/>
      </c:catAx>
      <c:valAx>
        <c:axId val="240416640"/>
        <c:scaling>
          <c:orientation val="minMax"/>
        </c:scaling>
        <c:delete val="0"/>
        <c:axPos val="l"/>
        <c:numFmt formatCode="General" sourceLinked="1"/>
        <c:majorTickMark val="none"/>
        <c:minorTickMark val="none"/>
        <c:tickLblPos val="nextTo"/>
        <c:spPr>
          <a:ln w="9525">
            <a:noFill/>
          </a:ln>
        </c:spPr>
        <c:crossAx val="240415104"/>
        <c:crosses val="autoZero"/>
        <c:crossBetween val="between"/>
      </c:valAx>
      <c:spPr>
        <a:solidFill>
          <a:schemeClr val="accent3">
            <a:lumMod val="60000"/>
            <a:lumOff val="40000"/>
          </a:schemeClr>
        </a:solidFill>
      </c:spPr>
    </c:plotArea>
    <c:legend>
      <c:legendPos val="b"/>
      <c:layout>
        <c:manualLayout>
          <c:xMode val="edge"/>
          <c:yMode val="edge"/>
          <c:x val="0.13404927234396935"/>
          <c:y val="0.88490841870572634"/>
          <c:w val="0.52929340931291835"/>
          <c:h val="9.112476642898977E-2"/>
        </c:manualLayout>
      </c:layout>
      <c:overlay val="0"/>
      <c:txPr>
        <a:bodyPr/>
        <a:lstStyle/>
        <a:p>
          <a:pPr>
            <a:defRPr sz="1100"/>
          </a:pPr>
          <a:endParaRPr lang="en-US"/>
        </a:p>
      </c:txPr>
    </c:legend>
    <c:plotVisOnly val="1"/>
    <c:dispBlanksAs val="gap"/>
    <c:showDLblsOverMax val="0"/>
  </c:chart>
  <c:spPr>
    <a:solidFill>
      <a:schemeClr val="accent3">
        <a:lumMod val="60000"/>
        <a:lumOff val="40000"/>
      </a:schemeClr>
    </a:solidFill>
    <a:ln>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[Sleep_health_and_lifestyle_dataset.xlsx]Pivot Table!Stress level &amp; Sleep Disorder</c:name>
    <c:fmtId val="10"/>
  </c:pivotSource>
  <c:chart>
    <c:title>
      <c:tx>
        <c:rich>
          <a:bodyPr/>
          <a:lstStyle/>
          <a:p>
            <a:pPr>
              <a:defRPr/>
            </a:pPr>
            <a:r>
              <a:rPr lang="en-US"/>
              <a:t>Stress Level &amp; Sleep Disorder</a:t>
            </a:r>
          </a:p>
        </c:rich>
      </c:tx>
      <c:layout/>
      <c:overlay val="0"/>
    </c:title>
    <c:autoTitleDeleted val="0"/>
    <c:pivotFmts>
      <c:pivotFmt>
        <c:idx val="0"/>
        <c:dLbl>
          <c:idx val="0"/>
          <c:spPr/>
          <c:txPr>
            <a:bodyPr/>
            <a:lstStyle/>
            <a:p>
              <a:pPr>
                <a:defRPr/>
              </a:pPr>
              <a:endParaRPr lang="en-US"/>
            </a:p>
          </c:txPr>
          <c:showLegendKey val="0"/>
          <c:showVal val="1"/>
          <c:showCatName val="0"/>
          <c:showSerName val="0"/>
          <c:showPercent val="0"/>
          <c:showBubbleSize val="0"/>
        </c:dLbl>
      </c:pivotFmt>
      <c:pivotFmt>
        <c:idx val="1"/>
        <c:dLbl>
          <c:idx val="0"/>
          <c:spPr/>
          <c:txPr>
            <a:bodyPr/>
            <a:lstStyle/>
            <a:p>
              <a:pPr>
                <a:defRPr/>
              </a:pPr>
              <a:endParaRPr lang="en-US"/>
            </a:p>
          </c:txPr>
          <c:showLegendKey val="0"/>
          <c:showVal val="1"/>
          <c:showCatName val="0"/>
          <c:showSerName val="0"/>
          <c:showPercent val="0"/>
          <c:showBubbleSize val="0"/>
        </c:dLbl>
      </c:pivotFmt>
      <c:pivotFmt>
        <c:idx val="2"/>
        <c:dLbl>
          <c:idx val="0"/>
          <c:spPr/>
          <c:txPr>
            <a:bodyPr/>
            <a:lstStyle/>
            <a:p>
              <a:pPr>
                <a:defRPr/>
              </a:pPr>
              <a:endParaRPr lang="en-US"/>
            </a:p>
          </c:txPr>
          <c:showLegendKey val="0"/>
          <c:showVal val="1"/>
          <c:showCatName val="0"/>
          <c:showSerName val="0"/>
          <c:showPercent val="0"/>
          <c:showBubbleSize val="0"/>
        </c:dLbl>
      </c:pivotFmt>
      <c:pivotFmt>
        <c:idx val="3"/>
      </c:pivotFmt>
      <c:pivotFmt>
        <c:idx val="4"/>
      </c:pivotFmt>
      <c:pivotFmt>
        <c:idx val="5"/>
      </c:pivotFmt>
      <c:pivotFmt>
        <c:idx val="6"/>
        <c:dLbl>
          <c:idx val="0"/>
          <c:layout>
            <c:manualLayout>
              <c:x val="5.5555555555555558E-3"/>
              <c:y val="0"/>
            </c:manualLayout>
          </c:layout>
          <c:showLegendKey val="0"/>
          <c:showVal val="1"/>
          <c:showCatName val="0"/>
          <c:showSerName val="0"/>
          <c:showPercent val="0"/>
          <c:showBubbleSize val="0"/>
        </c:dLbl>
      </c:pivotFmt>
      <c:pivotFmt>
        <c:idx val="7"/>
        <c:dLbl>
          <c:idx val="0"/>
          <c:layout>
            <c:manualLayout>
              <c:x val="8.3333333333333332E-3"/>
              <c:y val="0"/>
            </c:manualLayout>
          </c:layout>
          <c:showLegendKey val="0"/>
          <c:showVal val="1"/>
          <c:showCatName val="0"/>
          <c:showSerName val="0"/>
          <c:showPercent val="0"/>
          <c:showBubbleSize val="0"/>
        </c:dLbl>
      </c:pivotFmt>
      <c:pivotFmt>
        <c:idx val="8"/>
        <c:dLbl>
          <c:idx val="0"/>
          <c:layout>
            <c:manualLayout>
              <c:x val="8.3333333333333332E-3"/>
              <c:y val="-4.6296296296297144E-3"/>
            </c:manualLayout>
          </c:layout>
          <c:showLegendKey val="0"/>
          <c:showVal val="1"/>
          <c:showCatName val="0"/>
          <c:showSerName val="0"/>
          <c:showPercent val="0"/>
          <c:showBubbleSize val="0"/>
        </c:dLbl>
      </c:pivotFmt>
      <c:pivotFmt>
        <c:idx val="9"/>
        <c:dLbl>
          <c:idx val="0"/>
          <c:layout>
            <c:manualLayout>
              <c:x val="5.5555555555555558E-3"/>
              <c:y val="0"/>
            </c:manualLayout>
          </c:layout>
          <c:showLegendKey val="0"/>
          <c:showVal val="1"/>
          <c:showCatName val="0"/>
          <c:showSerName val="0"/>
          <c:showPercent val="0"/>
          <c:showBubbleSize val="0"/>
        </c:dLbl>
      </c:pivotFmt>
      <c:pivotFmt>
        <c:idx val="10"/>
        <c:dLbl>
          <c:idx val="0"/>
          <c:layout>
            <c:manualLayout>
              <c:x val="8.3333333333333332E-3"/>
              <c:y val="0"/>
            </c:manualLayout>
          </c:layout>
          <c:showLegendKey val="0"/>
          <c:showVal val="1"/>
          <c:showCatName val="0"/>
          <c:showSerName val="0"/>
          <c:showPercent val="0"/>
          <c:showBubbleSize val="0"/>
        </c:dLbl>
      </c:pivotFmt>
      <c:pivotFmt>
        <c:idx val="11"/>
        <c:marker>
          <c:symbol val="none"/>
        </c:marker>
        <c:dLbl>
          <c:idx val="0"/>
          <c:spPr/>
          <c:txPr>
            <a:bodyPr/>
            <a:lstStyle/>
            <a:p>
              <a:pPr>
                <a:defRPr/>
              </a:pPr>
              <a:endParaRPr lang="en-US"/>
            </a:p>
          </c:txPr>
          <c:showLegendKey val="0"/>
          <c:showVal val="1"/>
          <c:showCatName val="0"/>
          <c:showSerName val="0"/>
          <c:showPercent val="0"/>
          <c:showBubbleSize val="0"/>
        </c:dLbl>
      </c:pivotFmt>
      <c:pivotFmt>
        <c:idx val="12"/>
        <c:marker>
          <c:symbol val="none"/>
        </c:marker>
        <c:dLbl>
          <c:idx val="0"/>
          <c:spPr/>
          <c:txPr>
            <a:bodyPr/>
            <a:lstStyle/>
            <a:p>
              <a:pPr>
                <a:defRPr/>
              </a:pPr>
              <a:endParaRPr lang="en-US"/>
            </a:p>
          </c:txPr>
          <c:showLegendKey val="0"/>
          <c:showVal val="1"/>
          <c:showCatName val="0"/>
          <c:showSerName val="0"/>
          <c:showPercent val="0"/>
          <c:showBubbleSize val="0"/>
        </c:dLbl>
      </c:pivotFmt>
      <c:pivotFmt>
        <c:idx val="13"/>
        <c:dLbl>
          <c:idx val="0"/>
          <c:layout>
            <c:manualLayout>
              <c:x val="5.5555555555555558E-3"/>
              <c:y val="0"/>
            </c:manualLayout>
          </c:layout>
          <c:showLegendKey val="0"/>
          <c:showVal val="1"/>
          <c:showCatName val="0"/>
          <c:showSerName val="0"/>
          <c:showPercent val="0"/>
          <c:showBubbleSize val="0"/>
        </c:dLbl>
      </c:pivotFmt>
      <c:pivotFmt>
        <c:idx val="14"/>
        <c:marker>
          <c:symbol val="none"/>
        </c:marker>
        <c:dLbl>
          <c:idx val="0"/>
          <c:spPr/>
          <c:txPr>
            <a:bodyPr/>
            <a:lstStyle/>
            <a:p>
              <a:pPr>
                <a:defRPr/>
              </a:pPr>
              <a:endParaRPr lang="en-US"/>
            </a:p>
          </c:txPr>
          <c:showLegendKey val="0"/>
          <c:showVal val="1"/>
          <c:showCatName val="0"/>
          <c:showSerName val="0"/>
          <c:showPercent val="0"/>
          <c:showBubbleSize val="0"/>
        </c:dLbl>
      </c:pivotFmt>
      <c:pivotFmt>
        <c:idx val="15"/>
        <c:dLbl>
          <c:idx val="0"/>
          <c:layout>
            <c:manualLayout>
              <c:x val="8.3333333333333332E-3"/>
              <c:y val="0"/>
            </c:manualLayout>
          </c:layout>
          <c:showLegendKey val="0"/>
          <c:showVal val="1"/>
          <c:showCatName val="0"/>
          <c:showSerName val="0"/>
          <c:showPercent val="0"/>
          <c:showBubbleSize val="0"/>
        </c:dLbl>
      </c:pivotFmt>
      <c:pivotFmt>
        <c:idx val="16"/>
        <c:dLbl>
          <c:idx val="0"/>
          <c:layout>
            <c:manualLayout>
              <c:x val="5.5555555555555558E-3"/>
              <c:y val="0"/>
            </c:manualLayout>
          </c:layout>
          <c:showLegendKey val="0"/>
          <c:showVal val="1"/>
          <c:showCatName val="0"/>
          <c:showSerName val="0"/>
          <c:showPercent val="0"/>
          <c:showBubbleSize val="0"/>
        </c:dLbl>
      </c:pivotFmt>
      <c:pivotFmt>
        <c:idx val="17"/>
        <c:dLbl>
          <c:idx val="0"/>
          <c:layout>
            <c:manualLayout>
              <c:x val="8.3333333333333332E-3"/>
              <c:y val="0"/>
            </c:manualLayout>
          </c:layout>
          <c:showLegendKey val="0"/>
          <c:showVal val="1"/>
          <c:showCatName val="0"/>
          <c:showSerName val="0"/>
          <c:showPercent val="0"/>
          <c:showBubbleSize val="0"/>
        </c:dLbl>
      </c:pivotFmt>
      <c:pivotFmt>
        <c:idx val="18"/>
        <c:dLbl>
          <c:idx val="0"/>
          <c:layout>
            <c:manualLayout>
              <c:x val="8.3333333333333332E-3"/>
              <c:y val="-4.6296296296297144E-3"/>
            </c:manualLayout>
          </c:layout>
          <c:showLegendKey val="0"/>
          <c:showVal val="1"/>
          <c:showCatName val="0"/>
          <c:showSerName val="0"/>
          <c:showPercent val="0"/>
          <c:showBubbleSize val="0"/>
        </c:dLbl>
      </c:pivotFmt>
      <c:pivotFmt>
        <c:idx val="19"/>
        <c:marker>
          <c:symbol val="none"/>
        </c:marker>
        <c:dLbl>
          <c:idx val="0"/>
          <c:layout/>
          <c:spPr/>
          <c:txPr>
            <a:bodyPr/>
            <a:lstStyle/>
            <a:p>
              <a:pPr>
                <a:defRPr b="1"/>
              </a:pPr>
              <a:endParaRPr lang="en-US"/>
            </a:p>
          </c:txPr>
          <c:showLegendKey val="0"/>
          <c:showVal val="1"/>
          <c:showCatName val="0"/>
          <c:showSerName val="0"/>
          <c:showPercent val="0"/>
          <c:showBubbleSize val="0"/>
        </c:dLbl>
      </c:pivotFmt>
      <c:pivotFmt>
        <c:idx val="20"/>
        <c:marker>
          <c:symbol val="none"/>
        </c:marker>
        <c:dLbl>
          <c:idx val="0"/>
          <c:layout/>
          <c:spPr/>
          <c:txPr>
            <a:bodyPr/>
            <a:lstStyle/>
            <a:p>
              <a:pPr>
                <a:defRPr b="1"/>
              </a:pPr>
              <a:endParaRPr lang="en-US"/>
            </a:p>
          </c:txPr>
          <c:showLegendKey val="0"/>
          <c:showVal val="1"/>
          <c:showCatName val="0"/>
          <c:showSerName val="0"/>
          <c:showPercent val="0"/>
          <c:showBubbleSize val="0"/>
        </c:dLbl>
      </c:pivotFmt>
      <c:pivotFmt>
        <c:idx val="21"/>
        <c:dLbl>
          <c:idx val="0"/>
          <c:layout>
            <c:manualLayout>
              <c:x val="5.5555555555555558E-3"/>
              <c:y val="0"/>
            </c:manualLayout>
          </c:layout>
          <c:showLegendKey val="0"/>
          <c:showVal val="1"/>
          <c:showCatName val="0"/>
          <c:showSerName val="0"/>
          <c:showPercent val="0"/>
          <c:showBubbleSize val="0"/>
        </c:dLbl>
      </c:pivotFmt>
      <c:pivotFmt>
        <c:idx val="22"/>
        <c:marker>
          <c:symbol val="none"/>
        </c:marker>
        <c:dLbl>
          <c:idx val="0"/>
          <c:layout/>
          <c:spPr/>
          <c:txPr>
            <a:bodyPr/>
            <a:lstStyle/>
            <a:p>
              <a:pPr>
                <a:defRPr b="1"/>
              </a:pPr>
              <a:endParaRPr lang="en-US"/>
            </a:p>
          </c:txPr>
          <c:showLegendKey val="0"/>
          <c:showVal val="1"/>
          <c:showCatName val="0"/>
          <c:showSerName val="0"/>
          <c:showPercent val="0"/>
          <c:showBubbleSize val="0"/>
        </c:dLbl>
      </c:pivotFmt>
      <c:pivotFmt>
        <c:idx val="23"/>
        <c:dLbl>
          <c:idx val="0"/>
          <c:layout>
            <c:manualLayout>
              <c:x val="8.3333333333333332E-3"/>
              <c:y val="0"/>
            </c:manualLayout>
          </c:layout>
          <c:showLegendKey val="0"/>
          <c:showVal val="1"/>
          <c:showCatName val="0"/>
          <c:showSerName val="0"/>
          <c:showPercent val="0"/>
          <c:showBubbleSize val="0"/>
        </c:dLbl>
      </c:pivotFmt>
      <c:pivotFmt>
        <c:idx val="24"/>
        <c:dLbl>
          <c:idx val="0"/>
          <c:layout>
            <c:manualLayout>
              <c:x val="5.5555555555555558E-3"/>
              <c:y val="0"/>
            </c:manualLayout>
          </c:layout>
          <c:showLegendKey val="0"/>
          <c:showVal val="1"/>
          <c:showCatName val="0"/>
          <c:showSerName val="0"/>
          <c:showPercent val="0"/>
          <c:showBubbleSize val="0"/>
        </c:dLbl>
      </c:pivotFmt>
      <c:pivotFmt>
        <c:idx val="25"/>
        <c:dLbl>
          <c:idx val="0"/>
          <c:layout>
            <c:manualLayout>
              <c:x val="8.3333333333333332E-3"/>
              <c:y val="0"/>
            </c:manualLayout>
          </c:layout>
          <c:showLegendKey val="0"/>
          <c:showVal val="1"/>
          <c:showCatName val="0"/>
          <c:showSerName val="0"/>
          <c:showPercent val="0"/>
          <c:showBubbleSize val="0"/>
        </c:dLbl>
      </c:pivotFmt>
      <c:pivotFmt>
        <c:idx val="26"/>
        <c:dLbl>
          <c:idx val="0"/>
          <c:layout>
            <c:manualLayout>
              <c:x val="8.3333333333333332E-3"/>
              <c:y val="-4.6296296296297144E-3"/>
            </c:manualLayout>
          </c:layout>
          <c:showLegendKey val="0"/>
          <c:showVal val="1"/>
          <c:showCatName val="0"/>
          <c:showSerName val="0"/>
          <c:showPercent val="0"/>
          <c:showBubbleSize val="0"/>
        </c:dLbl>
      </c:pivotFmt>
      <c:pivotFmt>
        <c:idx val="27"/>
        <c:marker>
          <c:symbol val="none"/>
        </c:marker>
      </c:pivotFmt>
    </c:pivotFmts>
    <c:view3D>
      <c:rotX val="15"/>
      <c:rotY val="20"/>
      <c:rAngAx val="1"/>
    </c:view3D>
    <c:floor>
      <c:thickness val="0"/>
    </c:floor>
    <c:sideWall>
      <c:thickness val="0"/>
      <c:spPr>
        <a:solidFill>
          <a:schemeClr val="bg1">
            <a:lumMod val="75000"/>
          </a:schemeClr>
        </a:solidFill>
      </c:spPr>
    </c:sideWall>
    <c:backWall>
      <c:thickness val="0"/>
      <c:spPr>
        <a:solidFill>
          <a:schemeClr val="bg1">
            <a:lumMod val="75000"/>
          </a:schemeClr>
        </a:solidFill>
      </c:spPr>
    </c:backWall>
    <c:plotArea>
      <c:layout/>
      <c:bar3DChart>
        <c:barDir val="col"/>
        <c:grouping val="clustered"/>
        <c:varyColors val="0"/>
        <c:ser>
          <c:idx val="0"/>
          <c:order val="0"/>
          <c:tx>
            <c:strRef>
              <c:f>'Pivot Table'!$G$8:$G$9</c:f>
              <c:strCache>
                <c:ptCount val="1"/>
                <c:pt idx="0">
                  <c:v>Insomnia</c:v>
                </c:pt>
              </c:strCache>
            </c:strRef>
          </c:tx>
          <c:invertIfNegative val="0"/>
          <c:dLbls>
            <c:spPr/>
            <c:txPr>
              <a:bodyPr/>
              <a:lstStyle/>
              <a:p>
                <a:pPr>
                  <a:defRPr b="1"/>
                </a:pPr>
                <a:endParaRPr lang="en-US"/>
              </a:p>
            </c:txPr>
            <c:showLegendKey val="0"/>
            <c:showVal val="1"/>
            <c:showCatName val="0"/>
            <c:showSerName val="0"/>
            <c:showPercent val="0"/>
            <c:showBubbleSize val="0"/>
            <c:showLeaderLines val="0"/>
          </c:dLbls>
          <c:cat>
            <c:strRef>
              <c:f>'Pivot Table'!$F$10:$F$15</c:f>
              <c:strCache>
                <c:ptCount val="6"/>
                <c:pt idx="0">
                  <c:v>3</c:v>
                </c:pt>
                <c:pt idx="1">
                  <c:v>4</c:v>
                </c:pt>
                <c:pt idx="2">
                  <c:v>5</c:v>
                </c:pt>
                <c:pt idx="3">
                  <c:v>6</c:v>
                </c:pt>
                <c:pt idx="4">
                  <c:v>7</c:v>
                </c:pt>
                <c:pt idx="5">
                  <c:v>8</c:v>
                </c:pt>
              </c:strCache>
            </c:strRef>
          </c:cat>
          <c:val>
            <c:numRef>
              <c:f>'Pivot Table'!$G$10:$G$15</c:f>
              <c:numCache>
                <c:formatCode>General</c:formatCode>
                <c:ptCount val="6"/>
                <c:pt idx="0">
                  <c:v>1</c:v>
                </c:pt>
                <c:pt idx="1">
                  <c:v>24</c:v>
                </c:pt>
                <c:pt idx="2">
                  <c:v>6</c:v>
                </c:pt>
                <c:pt idx="3">
                  <c:v>2</c:v>
                </c:pt>
                <c:pt idx="4">
                  <c:v>41</c:v>
                </c:pt>
                <c:pt idx="5">
                  <c:v>3</c:v>
                </c:pt>
              </c:numCache>
            </c:numRef>
          </c:val>
        </c:ser>
        <c:ser>
          <c:idx val="1"/>
          <c:order val="1"/>
          <c:tx>
            <c:strRef>
              <c:f>'Pivot Table'!$H$8:$H$9</c:f>
              <c:strCache>
                <c:ptCount val="1"/>
                <c:pt idx="0">
                  <c:v>None</c:v>
                </c:pt>
              </c:strCache>
            </c:strRef>
          </c:tx>
          <c:invertIfNegative val="0"/>
          <c:dLbls>
            <c:dLbl>
              <c:idx val="4"/>
              <c:layout>
                <c:manualLayout>
                  <c:x val="5.5555555555555558E-3"/>
                  <c:y val="0"/>
                </c:manualLayout>
              </c:layout>
              <c:showLegendKey val="0"/>
              <c:showVal val="1"/>
              <c:showCatName val="0"/>
              <c:showSerName val="0"/>
              <c:showPercent val="0"/>
              <c:showBubbleSize val="0"/>
            </c:dLbl>
            <c:spPr/>
            <c:txPr>
              <a:bodyPr/>
              <a:lstStyle/>
              <a:p>
                <a:pPr>
                  <a:defRPr b="1"/>
                </a:pPr>
                <a:endParaRPr lang="en-US"/>
              </a:p>
            </c:txPr>
            <c:showLegendKey val="0"/>
            <c:showVal val="1"/>
            <c:showCatName val="0"/>
            <c:showSerName val="0"/>
            <c:showPercent val="0"/>
            <c:showBubbleSize val="0"/>
            <c:showLeaderLines val="0"/>
          </c:dLbls>
          <c:cat>
            <c:strRef>
              <c:f>'Pivot Table'!$F$10:$F$15</c:f>
              <c:strCache>
                <c:ptCount val="6"/>
                <c:pt idx="0">
                  <c:v>3</c:v>
                </c:pt>
                <c:pt idx="1">
                  <c:v>4</c:v>
                </c:pt>
                <c:pt idx="2">
                  <c:v>5</c:v>
                </c:pt>
                <c:pt idx="3">
                  <c:v>6</c:v>
                </c:pt>
                <c:pt idx="4">
                  <c:v>7</c:v>
                </c:pt>
                <c:pt idx="5">
                  <c:v>8</c:v>
                </c:pt>
              </c:strCache>
            </c:strRef>
          </c:cat>
          <c:val>
            <c:numRef>
              <c:f>'Pivot Table'!$H$10:$H$15</c:f>
              <c:numCache>
                <c:formatCode>General</c:formatCode>
                <c:ptCount val="6"/>
                <c:pt idx="0">
                  <c:v>40</c:v>
                </c:pt>
                <c:pt idx="1">
                  <c:v>43</c:v>
                </c:pt>
                <c:pt idx="2">
                  <c:v>57</c:v>
                </c:pt>
                <c:pt idx="3">
                  <c:v>43</c:v>
                </c:pt>
                <c:pt idx="4">
                  <c:v>3</c:v>
                </c:pt>
                <c:pt idx="5">
                  <c:v>33</c:v>
                </c:pt>
              </c:numCache>
            </c:numRef>
          </c:val>
        </c:ser>
        <c:ser>
          <c:idx val="2"/>
          <c:order val="2"/>
          <c:tx>
            <c:strRef>
              <c:f>'Pivot Table'!$I$8:$I$9</c:f>
              <c:strCache>
                <c:ptCount val="1"/>
                <c:pt idx="0">
                  <c:v>Sleep Apnea</c:v>
                </c:pt>
              </c:strCache>
            </c:strRef>
          </c:tx>
          <c:invertIfNegative val="0"/>
          <c:dLbls>
            <c:dLbl>
              <c:idx val="0"/>
              <c:layout>
                <c:manualLayout>
                  <c:x val="8.3333333333333332E-3"/>
                  <c:y val="0"/>
                </c:manualLayout>
              </c:layout>
              <c:showLegendKey val="0"/>
              <c:showVal val="1"/>
              <c:showCatName val="0"/>
              <c:showSerName val="0"/>
              <c:showPercent val="0"/>
              <c:showBubbleSize val="0"/>
            </c:dLbl>
            <c:dLbl>
              <c:idx val="1"/>
              <c:layout>
                <c:manualLayout>
                  <c:x val="5.5555555555555558E-3"/>
                  <c:y val="0"/>
                </c:manualLayout>
              </c:layout>
              <c:showLegendKey val="0"/>
              <c:showVal val="1"/>
              <c:showCatName val="0"/>
              <c:showSerName val="0"/>
              <c:showPercent val="0"/>
              <c:showBubbleSize val="0"/>
            </c:dLbl>
            <c:dLbl>
              <c:idx val="2"/>
              <c:layout>
                <c:manualLayout>
                  <c:x val="8.3333333333333332E-3"/>
                  <c:y val="0"/>
                </c:manualLayout>
              </c:layout>
              <c:showLegendKey val="0"/>
              <c:showVal val="1"/>
              <c:showCatName val="0"/>
              <c:showSerName val="0"/>
              <c:showPercent val="0"/>
              <c:showBubbleSize val="0"/>
            </c:dLbl>
            <c:dLbl>
              <c:idx val="3"/>
              <c:layout>
                <c:manualLayout>
                  <c:x val="8.3333333333333332E-3"/>
                  <c:y val="-4.6296296296297144E-3"/>
                </c:manualLayout>
              </c:layout>
              <c:showLegendKey val="0"/>
              <c:showVal val="1"/>
              <c:showCatName val="0"/>
              <c:showSerName val="0"/>
              <c:showPercent val="0"/>
              <c:showBubbleSize val="0"/>
            </c:dLbl>
            <c:spPr/>
            <c:txPr>
              <a:bodyPr/>
              <a:lstStyle/>
              <a:p>
                <a:pPr>
                  <a:defRPr b="1"/>
                </a:pPr>
                <a:endParaRPr lang="en-US"/>
              </a:p>
            </c:txPr>
            <c:showLegendKey val="0"/>
            <c:showVal val="1"/>
            <c:showCatName val="0"/>
            <c:showSerName val="0"/>
            <c:showPercent val="0"/>
            <c:showBubbleSize val="0"/>
            <c:showLeaderLines val="0"/>
          </c:dLbls>
          <c:cat>
            <c:strRef>
              <c:f>'Pivot Table'!$F$10:$F$15</c:f>
              <c:strCache>
                <c:ptCount val="6"/>
                <c:pt idx="0">
                  <c:v>3</c:v>
                </c:pt>
                <c:pt idx="1">
                  <c:v>4</c:v>
                </c:pt>
                <c:pt idx="2">
                  <c:v>5</c:v>
                </c:pt>
                <c:pt idx="3">
                  <c:v>6</c:v>
                </c:pt>
                <c:pt idx="4">
                  <c:v>7</c:v>
                </c:pt>
                <c:pt idx="5">
                  <c:v>8</c:v>
                </c:pt>
              </c:strCache>
            </c:strRef>
          </c:cat>
          <c:val>
            <c:numRef>
              <c:f>'Pivot Table'!$I$10:$I$15</c:f>
              <c:numCache>
                <c:formatCode>General</c:formatCode>
                <c:ptCount val="6"/>
                <c:pt idx="0">
                  <c:v>30</c:v>
                </c:pt>
                <c:pt idx="1">
                  <c:v>3</c:v>
                </c:pt>
                <c:pt idx="2">
                  <c:v>4</c:v>
                </c:pt>
                <c:pt idx="3">
                  <c:v>1</c:v>
                </c:pt>
                <c:pt idx="4">
                  <c:v>6</c:v>
                </c:pt>
                <c:pt idx="5">
                  <c:v>34</c:v>
                </c:pt>
              </c:numCache>
            </c:numRef>
          </c:val>
        </c:ser>
        <c:dLbls>
          <c:showLegendKey val="0"/>
          <c:showVal val="1"/>
          <c:showCatName val="0"/>
          <c:showSerName val="0"/>
          <c:showPercent val="0"/>
          <c:showBubbleSize val="0"/>
        </c:dLbls>
        <c:gapWidth val="75"/>
        <c:shape val="box"/>
        <c:axId val="240498944"/>
        <c:axId val="240123904"/>
        <c:axId val="0"/>
      </c:bar3DChart>
      <c:catAx>
        <c:axId val="240498944"/>
        <c:scaling>
          <c:orientation val="minMax"/>
        </c:scaling>
        <c:delete val="0"/>
        <c:axPos val="b"/>
        <c:majorTickMark val="none"/>
        <c:minorTickMark val="none"/>
        <c:tickLblPos val="nextTo"/>
        <c:crossAx val="240123904"/>
        <c:crosses val="autoZero"/>
        <c:auto val="1"/>
        <c:lblAlgn val="ctr"/>
        <c:lblOffset val="100"/>
        <c:noMultiLvlLbl val="0"/>
      </c:catAx>
      <c:valAx>
        <c:axId val="240123904"/>
        <c:scaling>
          <c:orientation val="minMax"/>
        </c:scaling>
        <c:delete val="0"/>
        <c:axPos val="l"/>
        <c:numFmt formatCode="General" sourceLinked="1"/>
        <c:majorTickMark val="none"/>
        <c:minorTickMark val="none"/>
        <c:tickLblPos val="nextTo"/>
        <c:crossAx val="240498944"/>
        <c:crosses val="autoZero"/>
        <c:crossBetween val="between"/>
      </c:valAx>
    </c:plotArea>
    <c:legend>
      <c:legendPos val="b"/>
      <c:layout>
        <c:manualLayout>
          <c:xMode val="edge"/>
          <c:yMode val="edge"/>
          <c:x val="9.0828999371337371E-2"/>
          <c:y val="0.88055755530558677"/>
          <c:w val="0.51900164316242559"/>
          <c:h val="9.0803149606299219E-2"/>
        </c:manualLayout>
      </c:layout>
      <c:overlay val="0"/>
      <c:txPr>
        <a:bodyPr/>
        <a:lstStyle/>
        <a:p>
          <a:pPr>
            <a:defRPr sz="1100"/>
          </a:pPr>
          <a:endParaRPr lang="en-US"/>
        </a:p>
      </c:txPr>
    </c:legend>
    <c:plotVisOnly val="1"/>
    <c:dispBlanksAs val="gap"/>
    <c:showDLblsOverMax val="0"/>
  </c:chart>
  <c:spPr>
    <a:solidFill>
      <a:schemeClr val="bg1">
        <a:lumMod val="75000"/>
      </a:schemeClr>
    </a:solidFill>
    <a:ln>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4"/>
    </mc:Choice>
    <mc:Fallback>
      <c:style val="34"/>
    </mc:Fallback>
  </mc:AlternateContent>
  <c:pivotSource>
    <c:name>[Sleep_health_and_lifestyle_dataset.xlsx]Pivot Table!Lifestyle &amp; BMI</c:name>
    <c:fmtId val="9"/>
  </c:pivotSource>
  <c:chart>
    <c:title>
      <c:tx>
        <c:rich>
          <a:bodyPr/>
          <a:lstStyle/>
          <a:p>
            <a:pPr>
              <a:defRPr/>
            </a:pPr>
            <a:r>
              <a:rPr lang="en-US"/>
              <a:t>Lifestyle &amp; BMI</a:t>
            </a:r>
          </a:p>
        </c:rich>
      </c:tx>
      <c:layout/>
      <c:overlay val="0"/>
    </c:title>
    <c:autoTitleDeleted val="0"/>
    <c:pivotFmts>
      <c:pivotFmt>
        <c:idx val="0"/>
        <c:dLbl>
          <c:idx val="0"/>
          <c:spPr/>
          <c:txPr>
            <a:bodyPr/>
            <a:lstStyle/>
            <a:p>
              <a:pPr>
                <a:defRPr/>
              </a:pPr>
              <a:endParaRPr lang="en-US"/>
            </a:p>
          </c:txPr>
          <c:dLblPos val="outEnd"/>
          <c:showLegendKey val="0"/>
          <c:showVal val="1"/>
          <c:showCatName val="0"/>
          <c:showSerName val="0"/>
          <c:showPercent val="0"/>
          <c:showBubbleSize val="0"/>
        </c:dLbl>
      </c:pivotFmt>
      <c:pivotFmt>
        <c:idx val="1"/>
        <c:dLbl>
          <c:idx val="0"/>
          <c:spPr/>
          <c:txPr>
            <a:bodyPr/>
            <a:lstStyle/>
            <a:p>
              <a:pPr>
                <a:defRPr/>
              </a:pPr>
              <a:endParaRPr lang="en-US"/>
            </a:p>
          </c:txPr>
          <c:dLblPos val="outEnd"/>
          <c:showLegendKey val="0"/>
          <c:showVal val="1"/>
          <c:showCatName val="0"/>
          <c:showSerName val="0"/>
          <c:showPercent val="0"/>
          <c:showBubbleSize val="0"/>
        </c:dLbl>
      </c:pivotFmt>
      <c:pivotFmt>
        <c:idx val="2"/>
        <c:dLbl>
          <c:idx val="0"/>
          <c:spPr/>
          <c:txPr>
            <a:bodyPr/>
            <a:lstStyle/>
            <a:p>
              <a:pPr>
                <a:defRPr/>
              </a:pPr>
              <a:endParaRPr lang="en-US"/>
            </a:p>
          </c:txPr>
          <c:dLblPos val="outEnd"/>
          <c:showLegendKey val="0"/>
          <c:showVal val="1"/>
          <c:showCatName val="0"/>
          <c:showSerName val="0"/>
          <c:showPercent val="0"/>
          <c:showBubbleSize val="0"/>
        </c:dLbl>
      </c:pivotFmt>
      <c:pivotFmt>
        <c:idx val="3"/>
        <c:dLbl>
          <c:idx val="0"/>
          <c:layout>
            <c:manualLayout>
              <c:x val="0"/>
              <c:y val="1.3888888888888867E-2"/>
            </c:manualLayout>
          </c:layout>
          <c:dLblPos val="outEnd"/>
          <c:showLegendKey val="0"/>
          <c:showVal val="1"/>
          <c:showCatName val="0"/>
          <c:showSerName val="0"/>
          <c:showPercent val="0"/>
          <c:showBubbleSize val="0"/>
        </c:dLbl>
      </c:pivotFmt>
      <c:pivotFmt>
        <c:idx val="4"/>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5"/>
        <c:dLbl>
          <c:idx val="0"/>
          <c:layout>
            <c:manualLayout>
              <c:x val="0"/>
              <c:y val="1.3888888888888867E-2"/>
            </c:manualLayout>
          </c:layout>
          <c:dLblPos val="outEnd"/>
          <c:showLegendKey val="0"/>
          <c:showVal val="1"/>
          <c:showCatName val="0"/>
          <c:showSerName val="0"/>
          <c:showPercent val="0"/>
          <c:showBubbleSize val="0"/>
        </c:dLbl>
      </c:pivotFmt>
      <c:pivotFmt>
        <c:idx val="6"/>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7"/>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8"/>
        <c:marker>
          <c:symbol val="none"/>
        </c:marker>
        <c:dLbl>
          <c:idx val="0"/>
          <c:layout/>
          <c:spPr/>
          <c:txPr>
            <a:bodyPr/>
            <a:lstStyle/>
            <a:p>
              <a:pPr>
                <a:defRPr b="1"/>
              </a:pPr>
              <a:endParaRPr lang="en-US"/>
            </a:p>
          </c:txPr>
          <c:dLblPos val="outEnd"/>
          <c:showLegendKey val="0"/>
          <c:showVal val="1"/>
          <c:showCatName val="0"/>
          <c:showSerName val="0"/>
          <c:showPercent val="0"/>
          <c:showBubbleSize val="0"/>
        </c:dLbl>
      </c:pivotFmt>
      <c:pivotFmt>
        <c:idx val="9"/>
        <c:dLbl>
          <c:idx val="0"/>
          <c:layout>
            <c:manualLayout>
              <c:x val="0"/>
              <c:y val="1.3888888888888867E-2"/>
            </c:manualLayout>
          </c:layout>
          <c:dLblPos val="outEnd"/>
          <c:showLegendKey val="0"/>
          <c:showVal val="1"/>
          <c:showCatName val="0"/>
          <c:showSerName val="0"/>
          <c:showPercent val="0"/>
          <c:showBubbleSize val="0"/>
        </c:dLbl>
      </c:pivotFmt>
      <c:pivotFmt>
        <c:idx val="10"/>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
        <c:idx val="11"/>
        <c:marker>
          <c:symbol val="none"/>
        </c:marker>
        <c:dLbl>
          <c:idx val="0"/>
          <c:layout/>
          <c:spPr/>
          <c:txPr>
            <a:bodyPr/>
            <a:lstStyle/>
            <a:p>
              <a:pPr>
                <a:defRPr b="1"/>
              </a:pPr>
              <a:endParaRPr lang="en-US"/>
            </a:p>
          </c:txPr>
          <c:dLblPos val="outEnd"/>
          <c:showLegendKey val="0"/>
          <c:showVal val="1"/>
          <c:showCatName val="0"/>
          <c:showSerName val="0"/>
          <c:showPercent val="0"/>
          <c:showBubbleSize val="0"/>
        </c:dLbl>
      </c:pivotFmt>
      <c:pivotFmt>
        <c:idx val="12"/>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'Pivot Table'!$B$17:$B$18</c:f>
              <c:strCache>
                <c:ptCount val="1"/>
                <c:pt idx="0">
                  <c:v>Normal</c:v>
                </c:pt>
              </c:strCache>
            </c:strRef>
          </c:tx>
          <c:invertIfNegative val="0"/>
          <c:dLbls>
            <c:dLbl>
              <c:idx val="1"/>
              <c:layout>
                <c:manualLayout>
                  <c:x val="0"/>
                  <c:y val="1.3888888888888867E-2"/>
                </c:manualLayout>
              </c:layout>
              <c:dLblPos val="outEnd"/>
              <c:showLegendKey val="0"/>
              <c:showVal val="1"/>
              <c:showCatName val="0"/>
              <c:showSerName val="0"/>
              <c:showPercent val="0"/>
              <c:showBubbleSize val="0"/>
            </c:dLbl>
            <c:spPr/>
            <c:txPr>
              <a:bodyPr/>
              <a:lstStyle/>
              <a:p>
                <a:pPr>
                  <a:defRPr b="1"/>
                </a:pPr>
                <a:endParaRPr lang="en-US"/>
              </a:p>
            </c:txPr>
            <c:dLblPos val="outEnd"/>
            <c:showLegendKey val="0"/>
            <c:showVal val="1"/>
            <c:showCatName val="0"/>
            <c:showSerName val="0"/>
            <c:showPercent val="0"/>
            <c:showBubbleSize val="0"/>
            <c:showLeaderLines val="0"/>
          </c:dLbls>
          <c:cat>
            <c:strRef>
              <c:f>'Pivot Table'!$A$19:$A$21</c:f>
              <c:strCache>
                <c:ptCount val="3"/>
                <c:pt idx="0">
                  <c:v>Active</c:v>
                </c:pt>
                <c:pt idx="1">
                  <c:v>Highly Active</c:v>
                </c:pt>
                <c:pt idx="2">
                  <c:v>Sedentary</c:v>
                </c:pt>
              </c:strCache>
            </c:strRef>
          </c:cat>
          <c:val>
            <c:numRef>
              <c:f>'Pivot Table'!$B$19:$B$21</c:f>
              <c:numCache>
                <c:formatCode>General</c:formatCode>
                <c:ptCount val="3"/>
                <c:pt idx="0">
                  <c:v>3</c:v>
                </c:pt>
                <c:pt idx="1">
                  <c:v>146</c:v>
                </c:pt>
                <c:pt idx="2">
                  <c:v>67</c:v>
                </c:pt>
              </c:numCache>
            </c:numRef>
          </c:val>
        </c:ser>
        <c:ser>
          <c:idx val="1"/>
          <c:order val="1"/>
          <c:tx>
            <c:strRef>
              <c:f>'Pivot Table'!$C$17:$C$18</c:f>
              <c:strCache>
                <c:ptCount val="1"/>
                <c:pt idx="0">
                  <c:v>Obese</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Table'!$A$19:$A$21</c:f>
              <c:strCache>
                <c:ptCount val="3"/>
                <c:pt idx="0">
                  <c:v>Active</c:v>
                </c:pt>
                <c:pt idx="1">
                  <c:v>Highly Active</c:v>
                </c:pt>
                <c:pt idx="2">
                  <c:v>Sedentary</c:v>
                </c:pt>
              </c:strCache>
            </c:strRef>
          </c:cat>
          <c:val>
            <c:numRef>
              <c:f>'Pivot Table'!$C$19:$C$21</c:f>
              <c:numCache>
                <c:formatCode>General</c:formatCode>
                <c:ptCount val="3"/>
                <c:pt idx="1">
                  <c:v>6</c:v>
                </c:pt>
                <c:pt idx="2">
                  <c:v>4</c:v>
                </c:pt>
              </c:numCache>
            </c:numRef>
          </c:val>
        </c:ser>
        <c:ser>
          <c:idx val="2"/>
          <c:order val="2"/>
          <c:tx>
            <c:strRef>
              <c:f>'Pivot Table'!$D$17:$D$18</c:f>
              <c:strCache>
                <c:ptCount val="1"/>
                <c:pt idx="0">
                  <c:v>Overweight</c:v>
                </c:pt>
              </c:strCache>
            </c:strRef>
          </c:tx>
          <c:invertIfNegative val="0"/>
          <c:dLbls>
            <c:spPr/>
            <c:txPr>
              <a:bodyPr/>
              <a:lstStyle/>
              <a:p>
                <a:pPr>
                  <a:defRPr b="1"/>
                </a:pPr>
                <a:endParaRPr lang="en-US"/>
              </a:p>
            </c:txPr>
            <c:dLblPos val="outEnd"/>
            <c:showLegendKey val="0"/>
            <c:showVal val="1"/>
            <c:showCatName val="0"/>
            <c:showSerName val="0"/>
            <c:showPercent val="0"/>
            <c:showBubbleSize val="0"/>
            <c:showLeaderLines val="0"/>
          </c:dLbls>
          <c:cat>
            <c:strRef>
              <c:f>'Pivot Table'!$A$19:$A$21</c:f>
              <c:strCache>
                <c:ptCount val="3"/>
                <c:pt idx="0">
                  <c:v>Active</c:v>
                </c:pt>
                <c:pt idx="1">
                  <c:v>Highly Active</c:v>
                </c:pt>
                <c:pt idx="2">
                  <c:v>Sedentary</c:v>
                </c:pt>
              </c:strCache>
            </c:strRef>
          </c:cat>
          <c:val>
            <c:numRef>
              <c:f>'Pivot Table'!$D$19:$D$21</c:f>
              <c:numCache>
                <c:formatCode>General</c:formatCode>
                <c:ptCount val="3"/>
                <c:pt idx="0">
                  <c:v>68</c:v>
                </c:pt>
                <c:pt idx="1">
                  <c:v>71</c:v>
                </c:pt>
                <c:pt idx="2">
                  <c:v>9</c:v>
                </c:pt>
              </c:numCache>
            </c:numRef>
          </c:val>
        </c:ser>
        <c:dLbls>
          <c:dLblPos val="outEnd"/>
          <c:showLegendKey val="0"/>
          <c:showVal val="1"/>
          <c:showCatName val="0"/>
          <c:showSerName val="0"/>
          <c:showPercent val="0"/>
          <c:showBubbleSize val="0"/>
        </c:dLbls>
        <c:gapWidth val="150"/>
        <c:axId val="240172032"/>
        <c:axId val="240194304"/>
      </c:barChart>
      <c:catAx>
        <c:axId val="240172032"/>
        <c:scaling>
          <c:orientation val="minMax"/>
        </c:scaling>
        <c:delete val="0"/>
        <c:axPos val="b"/>
        <c:majorTickMark val="none"/>
        <c:minorTickMark val="none"/>
        <c:tickLblPos val="nextTo"/>
        <c:txPr>
          <a:bodyPr/>
          <a:lstStyle/>
          <a:p>
            <a:pPr>
              <a:defRPr sz="1100"/>
            </a:pPr>
            <a:endParaRPr lang="en-US"/>
          </a:p>
        </c:txPr>
        <c:crossAx val="240194304"/>
        <c:crosses val="autoZero"/>
        <c:auto val="1"/>
        <c:lblAlgn val="ctr"/>
        <c:lblOffset val="100"/>
        <c:noMultiLvlLbl val="0"/>
      </c:catAx>
      <c:valAx>
        <c:axId val="240194304"/>
        <c:scaling>
          <c:orientation val="minMax"/>
        </c:scaling>
        <c:delete val="0"/>
        <c:axPos val="l"/>
        <c:numFmt formatCode="General" sourceLinked="1"/>
        <c:majorTickMark val="none"/>
        <c:minorTickMark val="none"/>
        <c:tickLblPos val="nextTo"/>
        <c:crossAx val="240172032"/>
        <c:crosses val="autoZero"/>
        <c:crossBetween val="between"/>
      </c:valAx>
      <c:spPr>
        <a:solidFill>
          <a:schemeClr val="tx2">
            <a:lumMod val="20000"/>
            <a:lumOff val="80000"/>
          </a:schemeClr>
        </a:solidFill>
      </c:spPr>
    </c:plotArea>
    <c:legend>
      <c:legendPos val="r"/>
      <c:layout>
        <c:manualLayout>
          <c:xMode val="edge"/>
          <c:yMode val="edge"/>
          <c:x val="0.79326604066176432"/>
          <c:y val="0.43780673071662735"/>
          <c:w val="0.1953773147067466"/>
          <c:h val="0.29602166140913055"/>
        </c:manualLayout>
      </c:layout>
      <c:overlay val="0"/>
      <c:txPr>
        <a:bodyPr/>
        <a:lstStyle/>
        <a:p>
          <a:pPr>
            <a:defRPr sz="1050"/>
          </a:pPr>
          <a:endParaRPr lang="en-US"/>
        </a:p>
      </c:txPr>
    </c:legend>
    <c:plotVisOnly val="1"/>
    <c:dispBlanksAs val="gap"/>
    <c:showDLblsOverMax val="0"/>
  </c:chart>
  <c:spPr>
    <a:solidFill>
      <a:schemeClr val="tx2">
        <a:lumMod val="20000"/>
        <a:lumOff val="80000"/>
      </a:schemeClr>
    </a:solidFill>
    <a:ln>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37"/>
    </mc:Choice>
    <mc:Fallback>
      <c:style val="37"/>
    </mc:Fallback>
  </mc:AlternateContent>
  <c:pivotSource>
    <c:name>[Sleep_health_and_lifestyle_dataset.xlsx]Pivot Table!Occupation &amp; stress level</c:name>
    <c:fmtId val="9"/>
  </c:pivotSource>
  <c:chart>
    <c:title>
      <c:tx>
        <c:rich>
          <a:bodyPr/>
          <a:lstStyle/>
          <a:p>
            <a:pPr>
              <a:defRPr/>
            </a:pPr>
            <a:r>
              <a:rPr lang="en-US"/>
              <a:t>Occupation &amp; Stress level</a:t>
            </a:r>
          </a:p>
        </c:rich>
      </c:tx>
      <c:layout>
        <c:manualLayout>
          <c:xMode val="edge"/>
          <c:yMode val="edge"/>
          <c:x val="0.21216633735629961"/>
          <c:y val="3.2407407407407406E-2"/>
        </c:manualLayout>
      </c:layout>
      <c:overlay val="0"/>
    </c:title>
    <c:autoTitleDeleted val="0"/>
    <c:pivotFmts>
      <c:pivotFmt>
        <c:idx val="0"/>
        <c:dLbl>
          <c:idx val="0"/>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b="1"/>
              </a:pPr>
              <a:endParaRPr lang="en-US"/>
            </a:p>
          </c:txPr>
          <c:showLegendKey val="0"/>
          <c:showVal val="1"/>
          <c:showCatName val="0"/>
          <c:showSerName val="0"/>
          <c:showPercent val="0"/>
          <c:showBubbleSize val="0"/>
        </c:dLbl>
      </c:pivotFmt>
    </c:pivotFmts>
    <c:plotArea>
      <c:layout/>
      <c:barChart>
        <c:barDir val="bar"/>
        <c:grouping val="clustered"/>
        <c:varyColors val="0"/>
        <c:ser>
          <c:idx val="0"/>
          <c:order val="0"/>
          <c:tx>
            <c:strRef>
              <c:f>'Pivot Table'!$G$17</c:f>
              <c:strCache>
                <c:ptCount val="1"/>
                <c:pt idx="0">
                  <c:v>Total</c:v>
                </c:pt>
              </c:strCache>
            </c:strRef>
          </c:tx>
          <c:invertIfNegative val="0"/>
          <c:dLbls>
            <c:spPr/>
            <c:txPr>
              <a:bodyPr/>
              <a:lstStyle/>
              <a:p>
                <a:pPr>
                  <a:defRPr b="1"/>
                </a:pPr>
                <a:endParaRPr lang="en-US"/>
              </a:p>
            </c:txPr>
            <c:showLegendKey val="0"/>
            <c:showVal val="1"/>
            <c:showCatName val="0"/>
            <c:showSerName val="0"/>
            <c:showPercent val="0"/>
            <c:showBubbleSize val="0"/>
            <c:showLeaderLines val="0"/>
          </c:dLbls>
          <c:cat>
            <c:strRef>
              <c:f>'Pivot Table'!$F$18:$F$28</c:f>
              <c:strCache>
                <c:ptCount val="11"/>
                <c:pt idx="0">
                  <c:v>Accountant</c:v>
                </c:pt>
                <c:pt idx="1">
                  <c:v>Doctor</c:v>
                </c:pt>
                <c:pt idx="2">
                  <c:v>Engineer</c:v>
                </c:pt>
                <c:pt idx="3">
                  <c:v>Lawyer</c:v>
                </c:pt>
                <c:pt idx="4">
                  <c:v>Manager</c:v>
                </c:pt>
                <c:pt idx="5">
                  <c:v>Nurse</c:v>
                </c:pt>
                <c:pt idx="6">
                  <c:v>Sales Representative</c:v>
                </c:pt>
                <c:pt idx="7">
                  <c:v>Salesperson</c:v>
                </c:pt>
                <c:pt idx="8">
                  <c:v>Scientist</c:v>
                </c:pt>
                <c:pt idx="9">
                  <c:v>Software Engineer</c:v>
                </c:pt>
                <c:pt idx="10">
                  <c:v>Teacher</c:v>
                </c:pt>
              </c:strCache>
            </c:strRef>
          </c:cat>
          <c:val>
            <c:numRef>
              <c:f>'Pivot Table'!$G$18:$G$28</c:f>
              <c:numCache>
                <c:formatCode>0.0</c:formatCode>
                <c:ptCount val="11"/>
                <c:pt idx="0">
                  <c:v>4.5945945945945947</c:v>
                </c:pt>
                <c:pt idx="1">
                  <c:v>6.732394366197183</c:v>
                </c:pt>
                <c:pt idx="2">
                  <c:v>3.8888888888888888</c:v>
                </c:pt>
                <c:pt idx="3">
                  <c:v>5.0638297872340425</c:v>
                </c:pt>
                <c:pt idx="4">
                  <c:v>5</c:v>
                </c:pt>
                <c:pt idx="5">
                  <c:v>5.5479452054794525</c:v>
                </c:pt>
                <c:pt idx="6">
                  <c:v>8</c:v>
                </c:pt>
                <c:pt idx="7">
                  <c:v>7</c:v>
                </c:pt>
                <c:pt idx="8">
                  <c:v>7</c:v>
                </c:pt>
                <c:pt idx="9">
                  <c:v>6</c:v>
                </c:pt>
                <c:pt idx="10">
                  <c:v>4.5250000000000004</c:v>
                </c:pt>
              </c:numCache>
            </c:numRef>
          </c:val>
        </c:ser>
        <c:dLbls>
          <c:showLegendKey val="0"/>
          <c:showVal val="1"/>
          <c:showCatName val="0"/>
          <c:showSerName val="0"/>
          <c:showPercent val="0"/>
          <c:showBubbleSize val="0"/>
        </c:dLbls>
        <c:gapWidth val="150"/>
        <c:overlap val="-25"/>
        <c:axId val="240218880"/>
        <c:axId val="240221568"/>
      </c:barChart>
      <c:catAx>
        <c:axId val="240218880"/>
        <c:scaling>
          <c:orientation val="minMax"/>
        </c:scaling>
        <c:delete val="0"/>
        <c:axPos val="l"/>
        <c:majorTickMark val="none"/>
        <c:minorTickMark val="none"/>
        <c:tickLblPos val="nextTo"/>
        <c:txPr>
          <a:bodyPr/>
          <a:lstStyle/>
          <a:p>
            <a:pPr>
              <a:defRPr sz="1100" b="0"/>
            </a:pPr>
            <a:endParaRPr lang="en-US"/>
          </a:p>
        </c:txPr>
        <c:crossAx val="240221568"/>
        <c:crosses val="autoZero"/>
        <c:auto val="1"/>
        <c:lblAlgn val="ctr"/>
        <c:lblOffset val="100"/>
        <c:noMultiLvlLbl val="0"/>
      </c:catAx>
      <c:valAx>
        <c:axId val="240221568"/>
        <c:scaling>
          <c:orientation val="minMax"/>
        </c:scaling>
        <c:delete val="1"/>
        <c:axPos val="b"/>
        <c:numFmt formatCode="0.0" sourceLinked="1"/>
        <c:majorTickMark val="out"/>
        <c:minorTickMark val="none"/>
        <c:tickLblPos val="nextTo"/>
        <c:crossAx val="240218880"/>
        <c:crosses val="autoZero"/>
        <c:crossBetween val="between"/>
      </c:valAx>
    </c:plotArea>
    <c:plotVisOnly val="1"/>
    <c:dispBlanksAs val="gap"/>
    <c:showDLblsOverMax val="0"/>
  </c:chart>
  <c:spPr>
    <a:solidFill>
      <a:schemeClr val="accent4">
        <a:lumMod val="40000"/>
        <a:lumOff val="60000"/>
      </a:schemeClr>
    </a:solidFill>
    <a:ln>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3</xdr:col>
      <xdr:colOff>123266</xdr:colOff>
      <xdr:row>4</xdr:row>
      <xdr:rowOff>135092</xdr:rowOff>
    </xdr:from>
    <xdr:to>
      <xdr:col>9</xdr:col>
      <xdr:colOff>123265</xdr:colOff>
      <xdr:row>16</xdr:row>
      <xdr:rowOff>116042</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137521</xdr:colOff>
      <xdr:row>4</xdr:row>
      <xdr:rowOff>133848</xdr:rowOff>
    </xdr:from>
    <xdr:to>
      <xdr:col>16</xdr:col>
      <xdr:colOff>446555</xdr:colOff>
      <xdr:row>16</xdr:row>
      <xdr:rowOff>152898</xdr:rowOff>
    </xdr:to>
    <xdr:graphicFrame macro="">
      <xdr:nvGraphicFramePr>
        <xdr:cNvPr id="3" name="Gender Lifestyle &amp; Avg  Sleep Duration"/>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293219</xdr:colOff>
      <xdr:row>17</xdr:row>
      <xdr:rowOff>51858</xdr:rowOff>
    </xdr:from>
    <xdr:to>
      <xdr:col>17</xdr:col>
      <xdr:colOff>324971</xdr:colOff>
      <xdr:row>31</xdr:row>
      <xdr:rowOff>42333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569009</xdr:colOff>
      <xdr:row>17</xdr:row>
      <xdr:rowOff>52481</xdr:rowOff>
    </xdr:from>
    <xdr:to>
      <xdr:col>10</xdr:col>
      <xdr:colOff>277408</xdr:colOff>
      <xdr:row>31</xdr:row>
      <xdr:rowOff>52481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16</xdr:col>
      <xdr:colOff>465670</xdr:colOff>
      <xdr:row>4</xdr:row>
      <xdr:rowOff>122642</xdr:rowOff>
    </xdr:from>
    <xdr:to>
      <xdr:col>23</xdr:col>
      <xdr:colOff>549088</xdr:colOff>
      <xdr:row>17</xdr:row>
      <xdr:rowOff>22412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309409</xdr:colOff>
      <xdr:row>17</xdr:row>
      <xdr:rowOff>64122</xdr:rowOff>
    </xdr:from>
    <xdr:to>
      <xdr:col>24</xdr:col>
      <xdr:colOff>302559</xdr:colOff>
      <xdr:row>31</xdr:row>
      <xdr:rowOff>140322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21166</xdr:colOff>
      <xdr:row>5</xdr:row>
      <xdr:rowOff>63501</xdr:rowOff>
    </xdr:from>
    <xdr:to>
      <xdr:col>3</xdr:col>
      <xdr:colOff>8714</xdr:colOff>
      <xdr:row>8</xdr:row>
      <xdr:rowOff>179917</xdr:rowOff>
    </xdr:to>
    <mc:AlternateContent xmlns:mc="http://schemas.openxmlformats.org/markup-compatibility/2006">
      <mc:Choice xmlns:a14="http://schemas.microsoft.com/office/drawing/2010/main" Requires="a14">
        <xdr:graphicFrame macro="">
          <xdr:nvGraphicFramePr>
            <xdr:cNvPr id="11"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1166" y="1027340"/>
              <a:ext cx="1824512" cy="69472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8</xdr:row>
      <xdr:rowOff>179918</xdr:rowOff>
    </xdr:from>
    <xdr:to>
      <xdr:col>3</xdr:col>
      <xdr:colOff>0</xdr:colOff>
      <xdr:row>13</xdr:row>
      <xdr:rowOff>148168</xdr:rowOff>
    </xdr:to>
    <mc:AlternateContent xmlns:mc="http://schemas.openxmlformats.org/markup-compatibility/2006">
      <mc:Choice xmlns:a14="http://schemas.microsoft.com/office/drawing/2010/main" Requires="a14">
        <xdr:graphicFrame macro="">
          <xdr:nvGraphicFramePr>
            <xdr:cNvPr id="14"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0" y="1722061"/>
              <a:ext cx="1836964" cy="93208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13</xdr:row>
      <xdr:rowOff>126998</xdr:rowOff>
    </xdr:from>
    <xdr:to>
      <xdr:col>2</xdr:col>
      <xdr:colOff>537883</xdr:colOff>
      <xdr:row>32</xdr:row>
      <xdr:rowOff>33618</xdr:rowOff>
    </xdr:to>
    <mc:AlternateContent xmlns:mc="http://schemas.openxmlformats.org/markup-compatibility/2006">
      <mc:Choice xmlns:a14="http://schemas.microsoft.com/office/drawing/2010/main" Requires="a14">
        <xdr:graphicFrame macro="">
          <xdr:nvGraphicFramePr>
            <xdr:cNvPr id="15" name="Occupation"/>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0" y="2632980"/>
              <a:ext cx="1762526" cy="356920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xdr:col>
      <xdr:colOff>11207</xdr:colOff>
      <xdr:row>0</xdr:row>
      <xdr:rowOff>0</xdr:rowOff>
    </xdr:from>
    <xdr:to>
      <xdr:col>20</xdr:col>
      <xdr:colOff>47034</xdr:colOff>
      <xdr:row>2</xdr:row>
      <xdr:rowOff>143844</xdr:rowOff>
    </xdr:to>
    <xdr:sp macro="" textlink="">
      <xdr:nvSpPr>
        <xdr:cNvPr id="8" name="Rectangle 7"/>
        <xdr:cNvSpPr/>
      </xdr:nvSpPr>
      <xdr:spPr>
        <a:xfrm>
          <a:off x="616325" y="0"/>
          <a:ext cx="11533062" cy="524844"/>
        </a:xfrm>
        <a:prstGeom prst="rect">
          <a:avLst/>
        </a:prstGeom>
        <a:noFill/>
      </xdr:spPr>
      <xdr:txBody>
        <a:bodyPr wrap="none" lIns="91440" tIns="45720" rIns="91440" bIns="45720">
          <a:noAutofit/>
        </a:bodyPr>
        <a:lstStyle/>
        <a:p>
          <a:pPr algn="ctr"/>
          <a:r>
            <a:rPr lang="en-US" sz="54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rPr>
            <a:t>                   </a:t>
          </a:r>
          <a:r>
            <a:rPr lang="en-US" sz="5400" b="1" cap="none" spc="0">
              <a:ln w="12700">
                <a:solidFill>
                  <a:schemeClr val="tx2">
                    <a:satMod val="155000"/>
                  </a:schemeClr>
                </a:solidFill>
                <a:prstDash val="solid"/>
              </a:ln>
              <a:solidFill>
                <a:schemeClr val="accent4">
                  <a:lumMod val="75000"/>
                </a:schemeClr>
              </a:solidFill>
              <a:effectLst>
                <a:outerShdw blurRad="41275" dist="20320" dir="1800000" algn="tl" rotWithShape="0">
                  <a:srgbClr val="000000">
                    <a:alpha val="40000"/>
                  </a:srgbClr>
                </a:outerShdw>
              </a:effectLst>
            </a:rPr>
            <a:t>SLEEP,</a:t>
          </a:r>
          <a:r>
            <a:rPr lang="en-US" sz="5400" b="1" cap="none" spc="0" baseline="0">
              <a:ln w="12700">
                <a:solidFill>
                  <a:schemeClr val="tx2">
                    <a:satMod val="155000"/>
                  </a:schemeClr>
                </a:solidFill>
                <a:prstDash val="solid"/>
              </a:ln>
              <a:solidFill>
                <a:schemeClr val="accent4">
                  <a:lumMod val="75000"/>
                </a:schemeClr>
              </a:solidFill>
              <a:effectLst>
                <a:outerShdw blurRad="41275" dist="20320" dir="1800000" algn="tl" rotWithShape="0">
                  <a:srgbClr val="000000">
                    <a:alpha val="40000"/>
                  </a:srgbClr>
                </a:outerShdw>
              </a:effectLst>
            </a:rPr>
            <a:t> HEALTH &amp; LIEFSTYLE DATA</a:t>
          </a:r>
          <a:endParaRPr lang="en-US" sz="5400" b="1" cap="none" spc="0">
            <a:ln w="12700">
              <a:solidFill>
                <a:schemeClr val="tx2">
                  <a:satMod val="155000"/>
                </a:schemeClr>
              </a:solidFill>
              <a:prstDash val="solid"/>
            </a:ln>
            <a:solidFill>
              <a:schemeClr val="accent4">
                <a:lumMod val="75000"/>
              </a:schemeClr>
            </a:solidFill>
            <a:effectLst>
              <a:outerShdw blurRad="41275" dist="20320" dir="1800000" algn="tl" rotWithShape="0">
                <a:srgbClr val="000000">
                  <a:alpha val="40000"/>
                </a:srgb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6016.823159837964" createdVersion="4" refreshedVersion="4" minRefreshableVersion="3" recordCount="374">
  <cacheSource type="worksheet">
    <worksheetSource ref="A1:S375" sheet="Sleep_health_and_lifestyle_data"/>
  </cacheSource>
  <cacheFields count="19">
    <cacheField name="Person ID" numFmtId="0">
      <sharedItems containsSemiMixedTypes="0" containsString="0" containsNumber="1" containsInteger="1" minValue="1" maxValue="374" count="37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sharedItems>
    </cacheField>
    <cacheField name="Gender" numFmtId="0">
      <sharedItems count="2">
        <s v="Male"/>
        <s v="Female"/>
      </sharedItems>
    </cacheField>
    <cacheField name="Age" numFmtId="0">
      <sharedItems containsSemiMixedTypes="0" containsString="0" containsNumber="1" containsInteger="1" minValue="27" maxValue="59" count="31">
        <n v="27"/>
        <n v="28"/>
        <n v="29"/>
        <n v="30"/>
        <n v="31"/>
        <n v="32"/>
        <n v="33"/>
        <n v="34"/>
        <n v="35"/>
        <n v="36"/>
        <n v="37"/>
        <n v="38"/>
        <n v="39"/>
        <n v="40"/>
        <n v="41"/>
        <n v="42"/>
        <n v="43"/>
        <n v="44"/>
        <n v="45"/>
        <n v="48"/>
        <n v="49"/>
        <n v="50"/>
        <n v="51"/>
        <n v="52"/>
        <n v="53"/>
        <n v="54"/>
        <n v="55"/>
        <n v="56"/>
        <n v="57"/>
        <n v="58"/>
        <n v="59"/>
      </sharedItems>
    </cacheField>
    <cacheField name="Age Group" numFmtId="0">
      <sharedItems count="4">
        <s v="20's"/>
        <s v="30's"/>
        <s v="40's"/>
        <s v="50's"/>
      </sharedItems>
    </cacheField>
    <cacheField name="Occupation" numFmtId="0">
      <sharedItems count="11">
        <s v="Software Engineer"/>
        <s v="Doctor"/>
        <s v="Sales Representative"/>
        <s v="Teacher"/>
        <s v="Nurse"/>
        <s v="Engineer"/>
        <s v="Accountant"/>
        <s v="Scientist"/>
        <s v="Lawyer"/>
        <s v="Salesperson"/>
        <s v="Manager"/>
      </sharedItems>
    </cacheField>
    <cacheField name="Sleep Duration" numFmtId="0">
      <sharedItems containsSemiMixedTypes="0" containsString="0" containsNumber="1" minValue="5.8" maxValue="8.5"/>
    </cacheField>
    <cacheField name="Sleep duration group" numFmtId="0">
      <sharedItems/>
    </cacheField>
    <cacheField name="Quality of Sleep" numFmtId="0">
      <sharedItems containsSemiMixedTypes="0" containsString="0" containsNumber="1" containsInteger="1" minValue="4" maxValue="9"/>
    </cacheField>
    <cacheField name="Quality group" numFmtId="0">
      <sharedItems count="2">
        <s v="Good"/>
        <s v="Poor"/>
      </sharedItems>
    </cacheField>
    <cacheField name="Physical Activity Level" numFmtId="0">
      <sharedItems containsSemiMixedTypes="0" containsString="0" containsNumber="1" containsInteger="1" minValue="30" maxValue="90"/>
    </cacheField>
    <cacheField name="PAL Range" numFmtId="164">
      <sharedItems containsSemiMixedTypes="0" containsString="0" containsNumber="1" minValue="1.25" maxValue="3.75"/>
    </cacheField>
    <cacheField name="Lifestyle" numFmtId="164">
      <sharedItems count="3">
        <s v="Active"/>
        <s v="Highly Active"/>
        <s v="Sedentary"/>
      </sharedItems>
    </cacheField>
    <cacheField name="Stress Level" numFmtId="0">
      <sharedItems containsSemiMixedTypes="0" containsString="0" containsNumber="1" containsInteger="1" minValue="3" maxValue="8" count="6">
        <n v="6"/>
        <n v="8"/>
        <n v="7"/>
        <n v="4"/>
        <n v="3"/>
        <n v="5"/>
      </sharedItems>
    </cacheField>
    <cacheField name="BMI Category" numFmtId="0">
      <sharedItems count="3">
        <s v="Overweight"/>
        <s v="Normal"/>
        <s v="Obese"/>
      </sharedItems>
    </cacheField>
    <cacheField name="Blood Pressure" numFmtId="0">
      <sharedItems/>
    </cacheField>
    <cacheField name="Heart Rate" numFmtId="0">
      <sharedItems containsSemiMixedTypes="0" containsString="0" containsNumber="1" containsInteger="1" minValue="65" maxValue="86"/>
    </cacheField>
    <cacheField name="Daily Steps" numFmtId="0">
      <sharedItems containsSemiMixedTypes="0" containsString="0" containsNumber="1" containsInteger="1" minValue="3000" maxValue="10000"/>
    </cacheField>
    <cacheField name="Steps group" numFmtId="0">
      <sharedItems/>
    </cacheField>
    <cacheField name="Sleep Disorder" numFmtId="0">
      <sharedItems count="3">
        <s v="None"/>
        <s v="Sleep Apnea"/>
        <s v="Insomnia"/>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74">
  <r>
    <x v="0"/>
    <x v="0"/>
    <x v="0"/>
    <x v="0"/>
    <x v="0"/>
    <n v="6.1"/>
    <s v="Low"/>
    <n v="6"/>
    <x v="0"/>
    <n v="42"/>
    <n v="1.75"/>
    <x v="0"/>
    <x v="0"/>
    <x v="0"/>
    <s v="126/83"/>
    <n v="77"/>
    <n v="4200"/>
    <s v="Partially Achieved"/>
    <x v="0"/>
  </r>
  <r>
    <x v="1"/>
    <x v="0"/>
    <x v="1"/>
    <x v="0"/>
    <x v="1"/>
    <n v="6.2"/>
    <s v="Low"/>
    <n v="6"/>
    <x v="0"/>
    <n v="60"/>
    <n v="2.5"/>
    <x v="1"/>
    <x v="1"/>
    <x v="1"/>
    <s v="125/80"/>
    <n v="75"/>
    <n v="10000"/>
    <s v="Steps Achieved"/>
    <x v="0"/>
  </r>
  <r>
    <x v="2"/>
    <x v="0"/>
    <x v="1"/>
    <x v="0"/>
    <x v="1"/>
    <n v="6.2"/>
    <s v="Low"/>
    <n v="6"/>
    <x v="0"/>
    <n v="60"/>
    <n v="2.5"/>
    <x v="1"/>
    <x v="1"/>
    <x v="1"/>
    <s v="125/80"/>
    <n v="75"/>
    <n v="10000"/>
    <s v="Steps Achieved"/>
    <x v="0"/>
  </r>
  <r>
    <x v="3"/>
    <x v="0"/>
    <x v="1"/>
    <x v="0"/>
    <x v="2"/>
    <n v="5.9"/>
    <s v="Very low"/>
    <n v="4"/>
    <x v="1"/>
    <n v="30"/>
    <n v="1.25"/>
    <x v="2"/>
    <x v="1"/>
    <x v="2"/>
    <s v="140/90"/>
    <n v="85"/>
    <n v="3000"/>
    <s v="Partially Achieved"/>
    <x v="1"/>
  </r>
  <r>
    <x v="4"/>
    <x v="0"/>
    <x v="1"/>
    <x v="0"/>
    <x v="2"/>
    <n v="5.9"/>
    <s v="Very low"/>
    <n v="4"/>
    <x v="1"/>
    <n v="30"/>
    <n v="1.25"/>
    <x v="2"/>
    <x v="1"/>
    <x v="2"/>
    <s v="140/90"/>
    <n v="85"/>
    <n v="3000"/>
    <s v="Partially Achieved"/>
    <x v="1"/>
  </r>
  <r>
    <x v="5"/>
    <x v="0"/>
    <x v="1"/>
    <x v="0"/>
    <x v="0"/>
    <n v="5.9"/>
    <s v="Very low"/>
    <n v="4"/>
    <x v="1"/>
    <n v="30"/>
    <n v="1.25"/>
    <x v="2"/>
    <x v="1"/>
    <x v="2"/>
    <s v="140/90"/>
    <n v="85"/>
    <n v="3000"/>
    <s v="Partially Achieved"/>
    <x v="2"/>
  </r>
  <r>
    <x v="6"/>
    <x v="0"/>
    <x v="2"/>
    <x v="0"/>
    <x v="3"/>
    <n v="6.3"/>
    <s v="Low"/>
    <n v="6"/>
    <x v="0"/>
    <n v="40"/>
    <n v="1.6666666666666667"/>
    <x v="2"/>
    <x v="2"/>
    <x v="2"/>
    <s v="140/90"/>
    <n v="82"/>
    <n v="3500"/>
    <s v="Partially Achieved"/>
    <x v="2"/>
  </r>
  <r>
    <x v="7"/>
    <x v="0"/>
    <x v="2"/>
    <x v="0"/>
    <x v="1"/>
    <n v="7.8"/>
    <s v="Good"/>
    <n v="7"/>
    <x v="0"/>
    <n v="75"/>
    <n v="3.125"/>
    <x v="1"/>
    <x v="0"/>
    <x v="1"/>
    <s v="120/80"/>
    <n v="70"/>
    <n v="8000"/>
    <s v="Half Achieved"/>
    <x v="0"/>
  </r>
  <r>
    <x v="8"/>
    <x v="0"/>
    <x v="2"/>
    <x v="0"/>
    <x v="1"/>
    <n v="7.8"/>
    <s v="Good"/>
    <n v="7"/>
    <x v="0"/>
    <n v="75"/>
    <n v="3.125"/>
    <x v="1"/>
    <x v="0"/>
    <x v="1"/>
    <s v="120/80"/>
    <n v="70"/>
    <n v="8000"/>
    <s v="Half Achieved"/>
    <x v="0"/>
  </r>
  <r>
    <x v="9"/>
    <x v="0"/>
    <x v="2"/>
    <x v="0"/>
    <x v="1"/>
    <n v="7.8"/>
    <s v="Good"/>
    <n v="7"/>
    <x v="0"/>
    <n v="75"/>
    <n v="3.125"/>
    <x v="1"/>
    <x v="0"/>
    <x v="1"/>
    <s v="120/80"/>
    <n v="70"/>
    <n v="8000"/>
    <s v="Half Achieved"/>
    <x v="0"/>
  </r>
  <r>
    <x v="10"/>
    <x v="0"/>
    <x v="2"/>
    <x v="0"/>
    <x v="1"/>
    <n v="6.1"/>
    <s v="Low"/>
    <n v="6"/>
    <x v="0"/>
    <n v="30"/>
    <n v="1.25"/>
    <x v="2"/>
    <x v="1"/>
    <x v="1"/>
    <s v="120/80"/>
    <n v="70"/>
    <n v="8000"/>
    <s v="Half Achieved"/>
    <x v="0"/>
  </r>
  <r>
    <x v="11"/>
    <x v="0"/>
    <x v="2"/>
    <x v="0"/>
    <x v="1"/>
    <n v="7.8"/>
    <s v="Good"/>
    <n v="7"/>
    <x v="0"/>
    <n v="75"/>
    <n v="3.125"/>
    <x v="1"/>
    <x v="0"/>
    <x v="1"/>
    <s v="120/80"/>
    <n v="70"/>
    <n v="8000"/>
    <s v="Half Achieved"/>
    <x v="0"/>
  </r>
  <r>
    <x v="12"/>
    <x v="0"/>
    <x v="2"/>
    <x v="0"/>
    <x v="1"/>
    <n v="6.1"/>
    <s v="Low"/>
    <n v="6"/>
    <x v="0"/>
    <n v="30"/>
    <n v="1.25"/>
    <x v="2"/>
    <x v="1"/>
    <x v="1"/>
    <s v="120/80"/>
    <n v="70"/>
    <n v="8000"/>
    <s v="Half Achieved"/>
    <x v="0"/>
  </r>
  <r>
    <x v="13"/>
    <x v="0"/>
    <x v="2"/>
    <x v="0"/>
    <x v="1"/>
    <n v="6"/>
    <s v="Low"/>
    <n v="6"/>
    <x v="0"/>
    <n v="30"/>
    <n v="1.25"/>
    <x v="2"/>
    <x v="1"/>
    <x v="1"/>
    <s v="120/80"/>
    <n v="70"/>
    <n v="8000"/>
    <s v="Half Achieved"/>
    <x v="0"/>
  </r>
  <r>
    <x v="14"/>
    <x v="0"/>
    <x v="2"/>
    <x v="0"/>
    <x v="1"/>
    <n v="6"/>
    <s v="Low"/>
    <n v="6"/>
    <x v="0"/>
    <n v="30"/>
    <n v="1.25"/>
    <x v="2"/>
    <x v="1"/>
    <x v="1"/>
    <s v="120/80"/>
    <n v="70"/>
    <n v="8000"/>
    <s v="Half Achieved"/>
    <x v="0"/>
  </r>
  <r>
    <x v="15"/>
    <x v="0"/>
    <x v="2"/>
    <x v="0"/>
    <x v="1"/>
    <n v="6"/>
    <s v="Low"/>
    <n v="6"/>
    <x v="0"/>
    <n v="30"/>
    <n v="1.25"/>
    <x v="2"/>
    <x v="1"/>
    <x v="1"/>
    <s v="120/80"/>
    <n v="70"/>
    <n v="8000"/>
    <s v="Half Achieved"/>
    <x v="0"/>
  </r>
  <r>
    <x v="16"/>
    <x v="1"/>
    <x v="2"/>
    <x v="0"/>
    <x v="4"/>
    <n v="6.5"/>
    <s v="Low"/>
    <n v="5"/>
    <x v="0"/>
    <n v="40"/>
    <n v="1.6666666666666667"/>
    <x v="2"/>
    <x v="2"/>
    <x v="1"/>
    <s v="132/87"/>
    <n v="80"/>
    <n v="4000"/>
    <s v="Partially Achieved"/>
    <x v="1"/>
  </r>
  <r>
    <x v="17"/>
    <x v="0"/>
    <x v="2"/>
    <x v="0"/>
    <x v="1"/>
    <n v="6"/>
    <s v="Low"/>
    <n v="6"/>
    <x v="0"/>
    <n v="30"/>
    <n v="1.25"/>
    <x v="2"/>
    <x v="1"/>
    <x v="1"/>
    <s v="120/80"/>
    <n v="70"/>
    <n v="8000"/>
    <s v="Half Achieved"/>
    <x v="1"/>
  </r>
  <r>
    <x v="18"/>
    <x v="1"/>
    <x v="2"/>
    <x v="0"/>
    <x v="4"/>
    <n v="6.5"/>
    <s v="Low"/>
    <n v="5"/>
    <x v="0"/>
    <n v="40"/>
    <n v="1.6666666666666667"/>
    <x v="2"/>
    <x v="2"/>
    <x v="1"/>
    <s v="132/87"/>
    <n v="80"/>
    <n v="4000"/>
    <s v="Partially Achieved"/>
    <x v="2"/>
  </r>
  <r>
    <x v="19"/>
    <x v="0"/>
    <x v="3"/>
    <x v="1"/>
    <x v="1"/>
    <n v="7.6"/>
    <s v="Good"/>
    <n v="7"/>
    <x v="0"/>
    <n v="75"/>
    <n v="3.125"/>
    <x v="1"/>
    <x v="0"/>
    <x v="1"/>
    <s v="120/80"/>
    <n v="70"/>
    <n v="8000"/>
    <s v="Half Achieved"/>
    <x v="0"/>
  </r>
  <r>
    <x v="20"/>
    <x v="0"/>
    <x v="3"/>
    <x v="1"/>
    <x v="1"/>
    <n v="7.7"/>
    <s v="Good"/>
    <n v="7"/>
    <x v="0"/>
    <n v="75"/>
    <n v="3.125"/>
    <x v="1"/>
    <x v="0"/>
    <x v="1"/>
    <s v="120/80"/>
    <n v="70"/>
    <n v="8000"/>
    <s v="Half Achieved"/>
    <x v="0"/>
  </r>
  <r>
    <x v="21"/>
    <x v="0"/>
    <x v="3"/>
    <x v="1"/>
    <x v="1"/>
    <n v="7.7"/>
    <s v="Good"/>
    <n v="7"/>
    <x v="0"/>
    <n v="75"/>
    <n v="3.125"/>
    <x v="1"/>
    <x v="0"/>
    <x v="1"/>
    <s v="120/80"/>
    <n v="70"/>
    <n v="8000"/>
    <s v="Half Achieved"/>
    <x v="0"/>
  </r>
  <r>
    <x v="22"/>
    <x v="0"/>
    <x v="3"/>
    <x v="1"/>
    <x v="1"/>
    <n v="7.7"/>
    <s v="Good"/>
    <n v="7"/>
    <x v="0"/>
    <n v="75"/>
    <n v="3.125"/>
    <x v="1"/>
    <x v="0"/>
    <x v="1"/>
    <s v="120/80"/>
    <n v="70"/>
    <n v="8000"/>
    <s v="Half Achieved"/>
    <x v="0"/>
  </r>
  <r>
    <x v="23"/>
    <x v="0"/>
    <x v="3"/>
    <x v="1"/>
    <x v="1"/>
    <n v="7.7"/>
    <s v="Good"/>
    <n v="7"/>
    <x v="0"/>
    <n v="75"/>
    <n v="3.125"/>
    <x v="1"/>
    <x v="0"/>
    <x v="1"/>
    <s v="120/80"/>
    <n v="70"/>
    <n v="8000"/>
    <s v="Half Achieved"/>
    <x v="0"/>
  </r>
  <r>
    <x v="24"/>
    <x v="0"/>
    <x v="3"/>
    <x v="1"/>
    <x v="1"/>
    <n v="7.8"/>
    <s v="Good"/>
    <n v="7"/>
    <x v="0"/>
    <n v="75"/>
    <n v="3.125"/>
    <x v="1"/>
    <x v="0"/>
    <x v="1"/>
    <s v="120/80"/>
    <n v="70"/>
    <n v="8000"/>
    <s v="Half Achieved"/>
    <x v="0"/>
  </r>
  <r>
    <x v="25"/>
    <x v="0"/>
    <x v="3"/>
    <x v="1"/>
    <x v="1"/>
    <n v="7.9"/>
    <s v="Good"/>
    <n v="7"/>
    <x v="0"/>
    <n v="75"/>
    <n v="3.125"/>
    <x v="1"/>
    <x v="0"/>
    <x v="1"/>
    <s v="120/80"/>
    <n v="70"/>
    <n v="8000"/>
    <s v="Half Achieved"/>
    <x v="0"/>
  </r>
  <r>
    <x v="26"/>
    <x v="0"/>
    <x v="3"/>
    <x v="1"/>
    <x v="1"/>
    <n v="7.8"/>
    <s v="Good"/>
    <n v="7"/>
    <x v="0"/>
    <n v="75"/>
    <n v="3.125"/>
    <x v="1"/>
    <x v="0"/>
    <x v="1"/>
    <s v="120/80"/>
    <n v="70"/>
    <n v="8000"/>
    <s v="Half Achieved"/>
    <x v="0"/>
  </r>
  <r>
    <x v="27"/>
    <x v="0"/>
    <x v="3"/>
    <x v="1"/>
    <x v="1"/>
    <n v="7.9"/>
    <s v="Good"/>
    <n v="7"/>
    <x v="0"/>
    <n v="75"/>
    <n v="3.125"/>
    <x v="1"/>
    <x v="0"/>
    <x v="1"/>
    <s v="120/80"/>
    <n v="70"/>
    <n v="8000"/>
    <s v="Half Achieved"/>
    <x v="0"/>
  </r>
  <r>
    <x v="28"/>
    <x v="0"/>
    <x v="3"/>
    <x v="1"/>
    <x v="1"/>
    <n v="7.9"/>
    <s v="Good"/>
    <n v="7"/>
    <x v="0"/>
    <n v="75"/>
    <n v="3.125"/>
    <x v="1"/>
    <x v="0"/>
    <x v="1"/>
    <s v="120/80"/>
    <n v="70"/>
    <n v="8000"/>
    <s v="Half Achieved"/>
    <x v="0"/>
  </r>
  <r>
    <x v="29"/>
    <x v="0"/>
    <x v="3"/>
    <x v="1"/>
    <x v="1"/>
    <n v="7.9"/>
    <s v="Good"/>
    <n v="7"/>
    <x v="0"/>
    <n v="75"/>
    <n v="3.125"/>
    <x v="1"/>
    <x v="0"/>
    <x v="1"/>
    <s v="120/80"/>
    <n v="70"/>
    <n v="8000"/>
    <s v="Half Achieved"/>
    <x v="0"/>
  </r>
  <r>
    <x v="30"/>
    <x v="1"/>
    <x v="3"/>
    <x v="1"/>
    <x v="4"/>
    <n v="6.4"/>
    <s v="Low"/>
    <n v="5"/>
    <x v="0"/>
    <n v="35"/>
    <n v="1.4583333333333333"/>
    <x v="2"/>
    <x v="2"/>
    <x v="1"/>
    <s v="130/86"/>
    <n v="78"/>
    <n v="4100"/>
    <s v="Partially Achieved"/>
    <x v="1"/>
  </r>
  <r>
    <x v="31"/>
    <x v="1"/>
    <x v="3"/>
    <x v="1"/>
    <x v="4"/>
    <n v="6.4"/>
    <s v="Low"/>
    <n v="5"/>
    <x v="0"/>
    <n v="35"/>
    <n v="1.4583333333333333"/>
    <x v="2"/>
    <x v="2"/>
    <x v="1"/>
    <s v="130/86"/>
    <n v="78"/>
    <n v="4100"/>
    <s v="Partially Achieved"/>
    <x v="2"/>
  </r>
  <r>
    <x v="32"/>
    <x v="1"/>
    <x v="4"/>
    <x v="1"/>
    <x v="4"/>
    <n v="7.9"/>
    <s v="Good"/>
    <n v="8"/>
    <x v="0"/>
    <n v="75"/>
    <n v="3.125"/>
    <x v="1"/>
    <x v="3"/>
    <x v="1"/>
    <s v="117/76"/>
    <n v="69"/>
    <n v="6800"/>
    <s v="Half Achieved"/>
    <x v="0"/>
  </r>
  <r>
    <x v="33"/>
    <x v="0"/>
    <x v="4"/>
    <x v="1"/>
    <x v="1"/>
    <n v="6.1"/>
    <s v="Low"/>
    <n v="6"/>
    <x v="0"/>
    <n v="30"/>
    <n v="1.25"/>
    <x v="2"/>
    <x v="1"/>
    <x v="1"/>
    <s v="125/80"/>
    <n v="72"/>
    <n v="5000"/>
    <s v="Half Achieved"/>
    <x v="0"/>
  </r>
  <r>
    <x v="34"/>
    <x v="0"/>
    <x v="4"/>
    <x v="1"/>
    <x v="1"/>
    <n v="7.7"/>
    <s v="Good"/>
    <n v="7"/>
    <x v="0"/>
    <n v="75"/>
    <n v="3.125"/>
    <x v="1"/>
    <x v="0"/>
    <x v="1"/>
    <s v="120/80"/>
    <n v="70"/>
    <n v="8000"/>
    <s v="Half Achieved"/>
    <x v="0"/>
  </r>
  <r>
    <x v="35"/>
    <x v="0"/>
    <x v="4"/>
    <x v="1"/>
    <x v="1"/>
    <n v="6.1"/>
    <s v="Low"/>
    <n v="6"/>
    <x v="0"/>
    <n v="30"/>
    <n v="1.25"/>
    <x v="2"/>
    <x v="1"/>
    <x v="1"/>
    <s v="125/80"/>
    <n v="72"/>
    <n v="5000"/>
    <s v="Half Achieved"/>
    <x v="0"/>
  </r>
  <r>
    <x v="36"/>
    <x v="0"/>
    <x v="4"/>
    <x v="1"/>
    <x v="1"/>
    <n v="6.1"/>
    <s v="Low"/>
    <n v="6"/>
    <x v="0"/>
    <n v="30"/>
    <n v="1.25"/>
    <x v="2"/>
    <x v="1"/>
    <x v="1"/>
    <s v="125/80"/>
    <n v="72"/>
    <n v="5000"/>
    <s v="Half Achieved"/>
    <x v="0"/>
  </r>
  <r>
    <x v="37"/>
    <x v="0"/>
    <x v="4"/>
    <x v="1"/>
    <x v="1"/>
    <n v="7.6"/>
    <s v="Good"/>
    <n v="7"/>
    <x v="0"/>
    <n v="75"/>
    <n v="3.125"/>
    <x v="1"/>
    <x v="0"/>
    <x v="1"/>
    <s v="120/80"/>
    <n v="70"/>
    <n v="8000"/>
    <s v="Half Achieved"/>
    <x v="0"/>
  </r>
  <r>
    <x v="38"/>
    <x v="0"/>
    <x v="4"/>
    <x v="1"/>
    <x v="1"/>
    <n v="7.6"/>
    <s v="Good"/>
    <n v="7"/>
    <x v="0"/>
    <n v="75"/>
    <n v="3.125"/>
    <x v="1"/>
    <x v="0"/>
    <x v="1"/>
    <s v="120/80"/>
    <n v="70"/>
    <n v="8000"/>
    <s v="Half Achieved"/>
    <x v="0"/>
  </r>
  <r>
    <x v="39"/>
    <x v="0"/>
    <x v="4"/>
    <x v="1"/>
    <x v="1"/>
    <n v="7.6"/>
    <s v="Good"/>
    <n v="7"/>
    <x v="0"/>
    <n v="75"/>
    <n v="3.125"/>
    <x v="1"/>
    <x v="0"/>
    <x v="1"/>
    <s v="120/80"/>
    <n v="70"/>
    <n v="8000"/>
    <s v="Half Achieved"/>
    <x v="0"/>
  </r>
  <r>
    <x v="40"/>
    <x v="0"/>
    <x v="4"/>
    <x v="1"/>
    <x v="1"/>
    <n v="7.7"/>
    <s v="Good"/>
    <n v="7"/>
    <x v="0"/>
    <n v="75"/>
    <n v="3.125"/>
    <x v="1"/>
    <x v="0"/>
    <x v="1"/>
    <s v="120/80"/>
    <n v="70"/>
    <n v="8000"/>
    <s v="Half Achieved"/>
    <x v="0"/>
  </r>
  <r>
    <x v="41"/>
    <x v="0"/>
    <x v="4"/>
    <x v="1"/>
    <x v="1"/>
    <n v="7.7"/>
    <s v="Good"/>
    <n v="7"/>
    <x v="0"/>
    <n v="75"/>
    <n v="3.125"/>
    <x v="1"/>
    <x v="0"/>
    <x v="1"/>
    <s v="120/80"/>
    <n v="70"/>
    <n v="8000"/>
    <s v="Half Achieved"/>
    <x v="0"/>
  </r>
  <r>
    <x v="42"/>
    <x v="0"/>
    <x v="4"/>
    <x v="1"/>
    <x v="1"/>
    <n v="7.7"/>
    <s v="Good"/>
    <n v="7"/>
    <x v="0"/>
    <n v="75"/>
    <n v="3.125"/>
    <x v="1"/>
    <x v="0"/>
    <x v="1"/>
    <s v="120/80"/>
    <n v="70"/>
    <n v="8000"/>
    <s v="Half Achieved"/>
    <x v="0"/>
  </r>
  <r>
    <x v="43"/>
    <x v="0"/>
    <x v="4"/>
    <x v="1"/>
    <x v="1"/>
    <n v="7.8"/>
    <s v="Good"/>
    <n v="7"/>
    <x v="0"/>
    <n v="75"/>
    <n v="3.125"/>
    <x v="1"/>
    <x v="0"/>
    <x v="1"/>
    <s v="120/80"/>
    <n v="70"/>
    <n v="8000"/>
    <s v="Half Achieved"/>
    <x v="0"/>
  </r>
  <r>
    <x v="44"/>
    <x v="0"/>
    <x v="4"/>
    <x v="1"/>
    <x v="1"/>
    <n v="7.7"/>
    <s v="Good"/>
    <n v="7"/>
    <x v="0"/>
    <n v="75"/>
    <n v="3.125"/>
    <x v="1"/>
    <x v="0"/>
    <x v="1"/>
    <s v="120/80"/>
    <n v="70"/>
    <n v="8000"/>
    <s v="Half Achieved"/>
    <x v="0"/>
  </r>
  <r>
    <x v="45"/>
    <x v="0"/>
    <x v="4"/>
    <x v="1"/>
    <x v="1"/>
    <n v="7.8"/>
    <s v="Good"/>
    <n v="7"/>
    <x v="0"/>
    <n v="75"/>
    <n v="3.125"/>
    <x v="1"/>
    <x v="0"/>
    <x v="1"/>
    <s v="120/80"/>
    <n v="70"/>
    <n v="8000"/>
    <s v="Half Achieved"/>
    <x v="0"/>
  </r>
  <r>
    <x v="46"/>
    <x v="0"/>
    <x v="4"/>
    <x v="1"/>
    <x v="1"/>
    <n v="7.7"/>
    <s v="Good"/>
    <n v="7"/>
    <x v="0"/>
    <n v="75"/>
    <n v="3.125"/>
    <x v="1"/>
    <x v="0"/>
    <x v="1"/>
    <s v="120/80"/>
    <n v="70"/>
    <n v="8000"/>
    <s v="Half Achieved"/>
    <x v="0"/>
  </r>
  <r>
    <x v="47"/>
    <x v="0"/>
    <x v="4"/>
    <x v="1"/>
    <x v="1"/>
    <n v="7.8"/>
    <s v="Good"/>
    <n v="7"/>
    <x v="0"/>
    <n v="75"/>
    <n v="3.125"/>
    <x v="1"/>
    <x v="0"/>
    <x v="1"/>
    <s v="120/80"/>
    <n v="70"/>
    <n v="8000"/>
    <s v="Half Achieved"/>
    <x v="0"/>
  </r>
  <r>
    <x v="48"/>
    <x v="0"/>
    <x v="4"/>
    <x v="1"/>
    <x v="1"/>
    <n v="7.7"/>
    <s v="Good"/>
    <n v="7"/>
    <x v="0"/>
    <n v="75"/>
    <n v="3.125"/>
    <x v="1"/>
    <x v="0"/>
    <x v="1"/>
    <s v="120/80"/>
    <n v="70"/>
    <n v="8000"/>
    <s v="Half Achieved"/>
    <x v="0"/>
  </r>
  <r>
    <x v="49"/>
    <x v="0"/>
    <x v="4"/>
    <x v="1"/>
    <x v="1"/>
    <n v="7.7"/>
    <s v="Good"/>
    <n v="7"/>
    <x v="0"/>
    <n v="75"/>
    <n v="3.125"/>
    <x v="1"/>
    <x v="0"/>
    <x v="1"/>
    <s v="120/80"/>
    <n v="70"/>
    <n v="8000"/>
    <s v="Half Achieved"/>
    <x v="1"/>
  </r>
  <r>
    <x v="50"/>
    <x v="0"/>
    <x v="5"/>
    <x v="1"/>
    <x v="5"/>
    <n v="7.5"/>
    <s v="Good"/>
    <n v="8"/>
    <x v="0"/>
    <n v="45"/>
    <n v="1.875"/>
    <x v="0"/>
    <x v="4"/>
    <x v="1"/>
    <s v="120/80"/>
    <n v="70"/>
    <n v="8000"/>
    <s v="Half Achieved"/>
    <x v="0"/>
  </r>
  <r>
    <x v="51"/>
    <x v="0"/>
    <x v="5"/>
    <x v="1"/>
    <x v="5"/>
    <n v="7.5"/>
    <s v="Good"/>
    <n v="8"/>
    <x v="0"/>
    <n v="45"/>
    <n v="1.875"/>
    <x v="0"/>
    <x v="4"/>
    <x v="1"/>
    <s v="120/80"/>
    <n v="70"/>
    <n v="8000"/>
    <s v="Half Achieved"/>
    <x v="0"/>
  </r>
  <r>
    <x v="52"/>
    <x v="0"/>
    <x v="5"/>
    <x v="1"/>
    <x v="1"/>
    <n v="6"/>
    <s v="Low"/>
    <n v="6"/>
    <x v="0"/>
    <n v="30"/>
    <n v="1.25"/>
    <x v="2"/>
    <x v="1"/>
    <x v="1"/>
    <s v="125/80"/>
    <n v="72"/>
    <n v="5000"/>
    <s v="Half Achieved"/>
    <x v="0"/>
  </r>
  <r>
    <x v="53"/>
    <x v="0"/>
    <x v="5"/>
    <x v="1"/>
    <x v="1"/>
    <n v="7.6"/>
    <s v="Good"/>
    <n v="7"/>
    <x v="0"/>
    <n v="75"/>
    <n v="3.125"/>
    <x v="1"/>
    <x v="0"/>
    <x v="1"/>
    <s v="120/80"/>
    <n v="70"/>
    <n v="8000"/>
    <s v="Half Achieved"/>
    <x v="0"/>
  </r>
  <r>
    <x v="54"/>
    <x v="0"/>
    <x v="5"/>
    <x v="1"/>
    <x v="1"/>
    <n v="6"/>
    <s v="Low"/>
    <n v="6"/>
    <x v="0"/>
    <n v="30"/>
    <n v="1.25"/>
    <x v="2"/>
    <x v="1"/>
    <x v="1"/>
    <s v="125/80"/>
    <n v="72"/>
    <n v="5000"/>
    <s v="Half Achieved"/>
    <x v="0"/>
  </r>
  <r>
    <x v="55"/>
    <x v="0"/>
    <x v="5"/>
    <x v="1"/>
    <x v="1"/>
    <n v="6"/>
    <s v="Low"/>
    <n v="6"/>
    <x v="0"/>
    <n v="30"/>
    <n v="1.25"/>
    <x v="2"/>
    <x v="1"/>
    <x v="1"/>
    <s v="125/80"/>
    <n v="72"/>
    <n v="5000"/>
    <s v="Half Achieved"/>
    <x v="0"/>
  </r>
  <r>
    <x v="56"/>
    <x v="0"/>
    <x v="5"/>
    <x v="1"/>
    <x v="1"/>
    <n v="7.7"/>
    <s v="Good"/>
    <n v="7"/>
    <x v="0"/>
    <n v="75"/>
    <n v="3.125"/>
    <x v="1"/>
    <x v="0"/>
    <x v="1"/>
    <s v="120/80"/>
    <n v="70"/>
    <n v="8000"/>
    <s v="Half Achieved"/>
    <x v="0"/>
  </r>
  <r>
    <x v="57"/>
    <x v="0"/>
    <x v="5"/>
    <x v="1"/>
    <x v="1"/>
    <n v="6"/>
    <s v="Low"/>
    <n v="6"/>
    <x v="0"/>
    <n v="30"/>
    <n v="1.25"/>
    <x v="2"/>
    <x v="1"/>
    <x v="1"/>
    <s v="125/80"/>
    <n v="72"/>
    <n v="5000"/>
    <s v="Half Achieved"/>
    <x v="0"/>
  </r>
  <r>
    <x v="58"/>
    <x v="0"/>
    <x v="5"/>
    <x v="1"/>
    <x v="1"/>
    <n v="6"/>
    <s v="Low"/>
    <n v="6"/>
    <x v="0"/>
    <n v="30"/>
    <n v="1.25"/>
    <x v="2"/>
    <x v="1"/>
    <x v="1"/>
    <s v="125/80"/>
    <n v="72"/>
    <n v="5000"/>
    <s v="Half Achieved"/>
    <x v="0"/>
  </r>
  <r>
    <x v="59"/>
    <x v="0"/>
    <x v="5"/>
    <x v="1"/>
    <x v="1"/>
    <n v="7.7"/>
    <s v="Good"/>
    <n v="7"/>
    <x v="0"/>
    <n v="75"/>
    <n v="3.125"/>
    <x v="1"/>
    <x v="0"/>
    <x v="1"/>
    <s v="120/80"/>
    <n v="70"/>
    <n v="8000"/>
    <s v="Half Achieved"/>
    <x v="0"/>
  </r>
  <r>
    <x v="60"/>
    <x v="0"/>
    <x v="5"/>
    <x v="1"/>
    <x v="1"/>
    <n v="6"/>
    <s v="Low"/>
    <n v="6"/>
    <x v="0"/>
    <n v="30"/>
    <n v="1.25"/>
    <x v="2"/>
    <x v="1"/>
    <x v="1"/>
    <s v="125/80"/>
    <n v="72"/>
    <n v="5000"/>
    <s v="Half Achieved"/>
    <x v="0"/>
  </r>
  <r>
    <x v="61"/>
    <x v="0"/>
    <x v="5"/>
    <x v="1"/>
    <x v="1"/>
    <n v="6"/>
    <s v="Low"/>
    <n v="6"/>
    <x v="0"/>
    <n v="30"/>
    <n v="1.25"/>
    <x v="2"/>
    <x v="1"/>
    <x v="1"/>
    <s v="125/80"/>
    <n v="72"/>
    <n v="5000"/>
    <s v="Half Achieved"/>
    <x v="0"/>
  </r>
  <r>
    <x v="62"/>
    <x v="0"/>
    <x v="5"/>
    <x v="1"/>
    <x v="1"/>
    <n v="6.2"/>
    <s v="Low"/>
    <n v="6"/>
    <x v="0"/>
    <n v="30"/>
    <n v="1.25"/>
    <x v="2"/>
    <x v="1"/>
    <x v="1"/>
    <s v="125/80"/>
    <n v="72"/>
    <n v="5000"/>
    <s v="Half Achieved"/>
    <x v="0"/>
  </r>
  <r>
    <x v="63"/>
    <x v="0"/>
    <x v="5"/>
    <x v="1"/>
    <x v="1"/>
    <n v="6.2"/>
    <s v="Low"/>
    <n v="6"/>
    <x v="0"/>
    <n v="30"/>
    <n v="1.25"/>
    <x v="2"/>
    <x v="1"/>
    <x v="1"/>
    <s v="125/80"/>
    <n v="72"/>
    <n v="5000"/>
    <s v="Half Achieved"/>
    <x v="0"/>
  </r>
  <r>
    <x v="64"/>
    <x v="0"/>
    <x v="5"/>
    <x v="1"/>
    <x v="1"/>
    <n v="6.2"/>
    <s v="Low"/>
    <n v="6"/>
    <x v="0"/>
    <n v="30"/>
    <n v="1.25"/>
    <x v="2"/>
    <x v="1"/>
    <x v="1"/>
    <s v="125/80"/>
    <n v="72"/>
    <n v="5000"/>
    <s v="Half Achieved"/>
    <x v="0"/>
  </r>
  <r>
    <x v="65"/>
    <x v="0"/>
    <x v="5"/>
    <x v="1"/>
    <x v="1"/>
    <n v="6.2"/>
    <s v="Low"/>
    <n v="6"/>
    <x v="0"/>
    <n v="30"/>
    <n v="1.25"/>
    <x v="2"/>
    <x v="1"/>
    <x v="1"/>
    <s v="125/80"/>
    <n v="72"/>
    <n v="5000"/>
    <s v="Half Achieved"/>
    <x v="0"/>
  </r>
  <r>
    <x v="66"/>
    <x v="0"/>
    <x v="5"/>
    <x v="1"/>
    <x v="6"/>
    <n v="7.2"/>
    <s v="Good"/>
    <n v="8"/>
    <x v="0"/>
    <n v="50"/>
    <n v="2.0833333333333335"/>
    <x v="1"/>
    <x v="0"/>
    <x v="1"/>
    <s v="118/76"/>
    <n v="68"/>
    <n v="7000"/>
    <s v="Half Achieved"/>
    <x v="0"/>
  </r>
  <r>
    <x v="67"/>
    <x v="0"/>
    <x v="6"/>
    <x v="1"/>
    <x v="1"/>
    <n v="6"/>
    <s v="Low"/>
    <n v="6"/>
    <x v="0"/>
    <n v="30"/>
    <n v="1.25"/>
    <x v="2"/>
    <x v="1"/>
    <x v="1"/>
    <s v="125/80"/>
    <n v="72"/>
    <n v="5000"/>
    <s v="Half Achieved"/>
    <x v="2"/>
  </r>
  <r>
    <x v="68"/>
    <x v="1"/>
    <x v="6"/>
    <x v="1"/>
    <x v="7"/>
    <n v="6.2"/>
    <s v="Low"/>
    <n v="6"/>
    <x v="0"/>
    <n v="50"/>
    <n v="2.0833333333333335"/>
    <x v="1"/>
    <x v="0"/>
    <x v="0"/>
    <s v="128/85"/>
    <n v="76"/>
    <n v="5500"/>
    <s v="Half Achieved"/>
    <x v="0"/>
  </r>
  <r>
    <x v="69"/>
    <x v="1"/>
    <x v="6"/>
    <x v="1"/>
    <x v="7"/>
    <n v="6.2"/>
    <s v="Low"/>
    <n v="6"/>
    <x v="0"/>
    <n v="50"/>
    <n v="2.0833333333333335"/>
    <x v="1"/>
    <x v="0"/>
    <x v="0"/>
    <s v="128/85"/>
    <n v="76"/>
    <n v="5500"/>
    <s v="Half Achieved"/>
    <x v="0"/>
  </r>
  <r>
    <x v="70"/>
    <x v="0"/>
    <x v="6"/>
    <x v="1"/>
    <x v="1"/>
    <n v="6.1"/>
    <s v="Low"/>
    <n v="6"/>
    <x v="0"/>
    <n v="30"/>
    <n v="1.25"/>
    <x v="2"/>
    <x v="1"/>
    <x v="1"/>
    <s v="125/80"/>
    <n v="72"/>
    <n v="5000"/>
    <s v="Half Achieved"/>
    <x v="0"/>
  </r>
  <r>
    <x v="71"/>
    <x v="0"/>
    <x v="6"/>
    <x v="1"/>
    <x v="1"/>
    <n v="6.1"/>
    <s v="Low"/>
    <n v="6"/>
    <x v="0"/>
    <n v="30"/>
    <n v="1.25"/>
    <x v="2"/>
    <x v="1"/>
    <x v="1"/>
    <s v="125/80"/>
    <n v="72"/>
    <n v="5000"/>
    <s v="Half Achieved"/>
    <x v="0"/>
  </r>
  <r>
    <x v="72"/>
    <x v="0"/>
    <x v="6"/>
    <x v="1"/>
    <x v="1"/>
    <n v="6.1"/>
    <s v="Low"/>
    <n v="6"/>
    <x v="0"/>
    <n v="30"/>
    <n v="1.25"/>
    <x v="2"/>
    <x v="1"/>
    <x v="1"/>
    <s v="125/80"/>
    <n v="72"/>
    <n v="5000"/>
    <s v="Half Achieved"/>
    <x v="0"/>
  </r>
  <r>
    <x v="73"/>
    <x v="0"/>
    <x v="6"/>
    <x v="1"/>
    <x v="1"/>
    <n v="6.1"/>
    <s v="Low"/>
    <n v="6"/>
    <x v="0"/>
    <n v="30"/>
    <n v="1.25"/>
    <x v="2"/>
    <x v="1"/>
    <x v="1"/>
    <s v="125/80"/>
    <n v="72"/>
    <n v="5000"/>
    <s v="Half Achieved"/>
    <x v="0"/>
  </r>
  <r>
    <x v="74"/>
    <x v="0"/>
    <x v="6"/>
    <x v="1"/>
    <x v="1"/>
    <n v="6"/>
    <s v="Low"/>
    <n v="6"/>
    <x v="0"/>
    <n v="30"/>
    <n v="1.25"/>
    <x v="2"/>
    <x v="1"/>
    <x v="1"/>
    <s v="125/80"/>
    <n v="72"/>
    <n v="5000"/>
    <s v="Half Achieved"/>
    <x v="0"/>
  </r>
  <r>
    <x v="75"/>
    <x v="0"/>
    <x v="6"/>
    <x v="1"/>
    <x v="1"/>
    <n v="6"/>
    <s v="Low"/>
    <n v="6"/>
    <x v="0"/>
    <n v="30"/>
    <n v="1.25"/>
    <x v="2"/>
    <x v="1"/>
    <x v="1"/>
    <s v="125/80"/>
    <n v="72"/>
    <n v="5000"/>
    <s v="Half Achieved"/>
    <x v="0"/>
  </r>
  <r>
    <x v="76"/>
    <x v="0"/>
    <x v="6"/>
    <x v="1"/>
    <x v="1"/>
    <n v="6"/>
    <s v="Low"/>
    <n v="6"/>
    <x v="0"/>
    <n v="30"/>
    <n v="1.25"/>
    <x v="2"/>
    <x v="1"/>
    <x v="1"/>
    <s v="125/80"/>
    <n v="72"/>
    <n v="5000"/>
    <s v="Half Achieved"/>
    <x v="0"/>
  </r>
  <r>
    <x v="77"/>
    <x v="0"/>
    <x v="6"/>
    <x v="1"/>
    <x v="1"/>
    <n v="6"/>
    <s v="Low"/>
    <n v="6"/>
    <x v="0"/>
    <n v="30"/>
    <n v="1.25"/>
    <x v="2"/>
    <x v="1"/>
    <x v="1"/>
    <s v="125/80"/>
    <n v="72"/>
    <n v="5000"/>
    <s v="Half Achieved"/>
    <x v="0"/>
  </r>
  <r>
    <x v="78"/>
    <x v="0"/>
    <x v="6"/>
    <x v="1"/>
    <x v="1"/>
    <n v="6"/>
    <s v="Low"/>
    <n v="6"/>
    <x v="0"/>
    <n v="30"/>
    <n v="1.25"/>
    <x v="2"/>
    <x v="1"/>
    <x v="1"/>
    <s v="125/80"/>
    <n v="72"/>
    <n v="5000"/>
    <s v="Half Achieved"/>
    <x v="0"/>
  </r>
  <r>
    <x v="79"/>
    <x v="0"/>
    <x v="6"/>
    <x v="1"/>
    <x v="1"/>
    <n v="6"/>
    <s v="Low"/>
    <n v="6"/>
    <x v="0"/>
    <n v="30"/>
    <n v="1.25"/>
    <x v="2"/>
    <x v="1"/>
    <x v="1"/>
    <s v="125/80"/>
    <n v="72"/>
    <n v="5000"/>
    <s v="Half Achieved"/>
    <x v="0"/>
  </r>
  <r>
    <x v="80"/>
    <x v="1"/>
    <x v="7"/>
    <x v="1"/>
    <x v="7"/>
    <n v="5.8"/>
    <s v="Very low"/>
    <n v="4"/>
    <x v="1"/>
    <n v="32"/>
    <n v="1.3333333333333333"/>
    <x v="2"/>
    <x v="1"/>
    <x v="0"/>
    <s v="131/86"/>
    <n v="81"/>
    <n v="5200"/>
    <s v="Half Achieved"/>
    <x v="1"/>
  </r>
  <r>
    <x v="81"/>
    <x v="1"/>
    <x v="7"/>
    <x v="1"/>
    <x v="7"/>
    <n v="5.8"/>
    <s v="Very low"/>
    <n v="4"/>
    <x v="1"/>
    <n v="32"/>
    <n v="1.3333333333333333"/>
    <x v="2"/>
    <x v="1"/>
    <x v="0"/>
    <s v="131/86"/>
    <n v="81"/>
    <n v="5200"/>
    <s v="Half Achieved"/>
    <x v="1"/>
  </r>
  <r>
    <x v="82"/>
    <x v="0"/>
    <x v="8"/>
    <x v="1"/>
    <x v="3"/>
    <n v="6.7"/>
    <s v="Low"/>
    <n v="7"/>
    <x v="0"/>
    <n v="40"/>
    <n v="1.6666666666666667"/>
    <x v="2"/>
    <x v="5"/>
    <x v="0"/>
    <s v="128/84"/>
    <n v="70"/>
    <n v="5600"/>
    <s v="Half Achieved"/>
    <x v="0"/>
  </r>
  <r>
    <x v="83"/>
    <x v="0"/>
    <x v="8"/>
    <x v="1"/>
    <x v="3"/>
    <n v="6.7"/>
    <s v="Low"/>
    <n v="7"/>
    <x v="0"/>
    <n v="40"/>
    <n v="1.6666666666666667"/>
    <x v="2"/>
    <x v="5"/>
    <x v="0"/>
    <s v="128/84"/>
    <n v="70"/>
    <n v="5600"/>
    <s v="Half Achieved"/>
    <x v="0"/>
  </r>
  <r>
    <x v="84"/>
    <x v="0"/>
    <x v="8"/>
    <x v="1"/>
    <x v="0"/>
    <n v="7.5"/>
    <s v="Good"/>
    <n v="8"/>
    <x v="0"/>
    <n v="60"/>
    <n v="2.5"/>
    <x v="1"/>
    <x v="5"/>
    <x v="1"/>
    <s v="120/80"/>
    <n v="70"/>
    <n v="8000"/>
    <s v="Half Achieved"/>
    <x v="0"/>
  </r>
  <r>
    <x v="85"/>
    <x v="1"/>
    <x v="8"/>
    <x v="1"/>
    <x v="6"/>
    <n v="7.2"/>
    <s v="Good"/>
    <n v="8"/>
    <x v="0"/>
    <n v="60"/>
    <n v="2.5"/>
    <x v="1"/>
    <x v="3"/>
    <x v="1"/>
    <s v="115/75"/>
    <n v="68"/>
    <n v="7000"/>
    <s v="Half Achieved"/>
    <x v="0"/>
  </r>
  <r>
    <x v="86"/>
    <x v="0"/>
    <x v="8"/>
    <x v="1"/>
    <x v="5"/>
    <n v="7.2"/>
    <s v="Good"/>
    <n v="8"/>
    <x v="0"/>
    <n v="60"/>
    <n v="2.5"/>
    <x v="1"/>
    <x v="3"/>
    <x v="1"/>
    <s v="125/80"/>
    <n v="65"/>
    <n v="5000"/>
    <s v="Half Achieved"/>
    <x v="0"/>
  </r>
  <r>
    <x v="87"/>
    <x v="0"/>
    <x v="8"/>
    <x v="1"/>
    <x v="5"/>
    <n v="7.2"/>
    <s v="Good"/>
    <n v="8"/>
    <x v="0"/>
    <n v="60"/>
    <n v="2.5"/>
    <x v="1"/>
    <x v="3"/>
    <x v="1"/>
    <s v="125/80"/>
    <n v="65"/>
    <n v="5000"/>
    <s v="Half Achieved"/>
    <x v="0"/>
  </r>
  <r>
    <x v="88"/>
    <x v="0"/>
    <x v="8"/>
    <x v="1"/>
    <x v="5"/>
    <n v="7.3"/>
    <s v="Good"/>
    <n v="8"/>
    <x v="0"/>
    <n v="60"/>
    <n v="2.5"/>
    <x v="1"/>
    <x v="3"/>
    <x v="1"/>
    <s v="125/80"/>
    <n v="65"/>
    <n v="5000"/>
    <s v="Half Achieved"/>
    <x v="0"/>
  </r>
  <r>
    <x v="89"/>
    <x v="0"/>
    <x v="8"/>
    <x v="1"/>
    <x v="5"/>
    <n v="7.3"/>
    <s v="Good"/>
    <n v="8"/>
    <x v="0"/>
    <n v="60"/>
    <n v="2.5"/>
    <x v="1"/>
    <x v="3"/>
    <x v="1"/>
    <s v="125/80"/>
    <n v="65"/>
    <n v="5000"/>
    <s v="Half Achieved"/>
    <x v="0"/>
  </r>
  <r>
    <x v="90"/>
    <x v="0"/>
    <x v="8"/>
    <x v="1"/>
    <x v="5"/>
    <n v="7.3"/>
    <s v="Good"/>
    <n v="8"/>
    <x v="0"/>
    <n v="60"/>
    <n v="2.5"/>
    <x v="1"/>
    <x v="3"/>
    <x v="1"/>
    <s v="125/80"/>
    <n v="65"/>
    <n v="5000"/>
    <s v="Half Achieved"/>
    <x v="0"/>
  </r>
  <r>
    <x v="91"/>
    <x v="0"/>
    <x v="8"/>
    <x v="1"/>
    <x v="5"/>
    <n v="7.3"/>
    <s v="Good"/>
    <n v="8"/>
    <x v="0"/>
    <n v="60"/>
    <n v="2.5"/>
    <x v="1"/>
    <x v="3"/>
    <x v="1"/>
    <s v="125/80"/>
    <n v="65"/>
    <n v="5000"/>
    <s v="Half Achieved"/>
    <x v="0"/>
  </r>
  <r>
    <x v="92"/>
    <x v="0"/>
    <x v="8"/>
    <x v="1"/>
    <x v="0"/>
    <n v="7.5"/>
    <s v="Good"/>
    <n v="8"/>
    <x v="0"/>
    <n v="60"/>
    <n v="2.5"/>
    <x v="1"/>
    <x v="5"/>
    <x v="1"/>
    <s v="120/80"/>
    <n v="70"/>
    <n v="8000"/>
    <s v="Half Achieved"/>
    <x v="0"/>
  </r>
  <r>
    <x v="93"/>
    <x v="0"/>
    <x v="8"/>
    <x v="1"/>
    <x v="8"/>
    <n v="7.4"/>
    <s v="Good"/>
    <n v="7"/>
    <x v="0"/>
    <n v="60"/>
    <n v="2.5"/>
    <x v="1"/>
    <x v="5"/>
    <x v="2"/>
    <s v="135/88"/>
    <n v="84"/>
    <n v="3300"/>
    <s v="Partially Achieved"/>
    <x v="1"/>
  </r>
  <r>
    <x v="94"/>
    <x v="1"/>
    <x v="9"/>
    <x v="1"/>
    <x v="6"/>
    <n v="7.2"/>
    <s v="Good"/>
    <n v="8"/>
    <x v="0"/>
    <n v="60"/>
    <n v="2.5"/>
    <x v="1"/>
    <x v="3"/>
    <x v="1"/>
    <s v="115/75"/>
    <n v="68"/>
    <n v="7000"/>
    <s v="Half Achieved"/>
    <x v="2"/>
  </r>
  <r>
    <x v="95"/>
    <x v="1"/>
    <x v="9"/>
    <x v="1"/>
    <x v="6"/>
    <n v="7.1"/>
    <s v="Good"/>
    <n v="8"/>
    <x v="0"/>
    <n v="60"/>
    <n v="2.5"/>
    <x v="1"/>
    <x v="3"/>
    <x v="1"/>
    <s v="115/75"/>
    <n v="68"/>
    <n v="7000"/>
    <s v="Half Achieved"/>
    <x v="0"/>
  </r>
  <r>
    <x v="96"/>
    <x v="1"/>
    <x v="9"/>
    <x v="1"/>
    <x v="6"/>
    <n v="7.2"/>
    <s v="Good"/>
    <n v="8"/>
    <x v="0"/>
    <n v="60"/>
    <n v="2.5"/>
    <x v="1"/>
    <x v="3"/>
    <x v="1"/>
    <s v="115/75"/>
    <n v="68"/>
    <n v="7000"/>
    <s v="Half Achieved"/>
    <x v="0"/>
  </r>
  <r>
    <x v="97"/>
    <x v="1"/>
    <x v="9"/>
    <x v="1"/>
    <x v="6"/>
    <n v="7.1"/>
    <s v="Good"/>
    <n v="8"/>
    <x v="0"/>
    <n v="60"/>
    <n v="2.5"/>
    <x v="1"/>
    <x v="3"/>
    <x v="1"/>
    <s v="115/75"/>
    <n v="68"/>
    <n v="7000"/>
    <s v="Half Achieved"/>
    <x v="0"/>
  </r>
  <r>
    <x v="98"/>
    <x v="1"/>
    <x v="9"/>
    <x v="1"/>
    <x v="3"/>
    <n v="7.1"/>
    <s v="Good"/>
    <n v="8"/>
    <x v="0"/>
    <n v="60"/>
    <n v="2.5"/>
    <x v="1"/>
    <x v="3"/>
    <x v="1"/>
    <s v="115/75"/>
    <n v="68"/>
    <n v="7000"/>
    <s v="Half Achieved"/>
    <x v="0"/>
  </r>
  <r>
    <x v="99"/>
    <x v="1"/>
    <x v="9"/>
    <x v="1"/>
    <x v="3"/>
    <n v="7.1"/>
    <s v="Good"/>
    <n v="8"/>
    <x v="0"/>
    <n v="60"/>
    <n v="2.5"/>
    <x v="1"/>
    <x v="3"/>
    <x v="1"/>
    <s v="115/75"/>
    <n v="68"/>
    <n v="7000"/>
    <s v="Half Achieved"/>
    <x v="0"/>
  </r>
  <r>
    <x v="100"/>
    <x v="1"/>
    <x v="9"/>
    <x v="1"/>
    <x v="3"/>
    <n v="7.2"/>
    <s v="Good"/>
    <n v="8"/>
    <x v="0"/>
    <n v="60"/>
    <n v="2.5"/>
    <x v="1"/>
    <x v="3"/>
    <x v="1"/>
    <s v="115/75"/>
    <n v="68"/>
    <n v="7000"/>
    <s v="Half Achieved"/>
    <x v="0"/>
  </r>
  <r>
    <x v="101"/>
    <x v="1"/>
    <x v="9"/>
    <x v="1"/>
    <x v="3"/>
    <n v="7.2"/>
    <s v="Good"/>
    <n v="8"/>
    <x v="0"/>
    <n v="60"/>
    <n v="2.5"/>
    <x v="1"/>
    <x v="3"/>
    <x v="1"/>
    <s v="115/75"/>
    <n v="68"/>
    <n v="7000"/>
    <s v="Half Achieved"/>
    <x v="0"/>
  </r>
  <r>
    <x v="102"/>
    <x v="1"/>
    <x v="9"/>
    <x v="1"/>
    <x v="3"/>
    <n v="7.2"/>
    <s v="Good"/>
    <n v="8"/>
    <x v="0"/>
    <n v="60"/>
    <n v="2.5"/>
    <x v="1"/>
    <x v="3"/>
    <x v="1"/>
    <s v="115/75"/>
    <n v="68"/>
    <n v="7000"/>
    <s v="Half Achieved"/>
    <x v="0"/>
  </r>
  <r>
    <x v="103"/>
    <x v="0"/>
    <x v="9"/>
    <x v="1"/>
    <x v="3"/>
    <n v="6.6"/>
    <s v="Low"/>
    <n v="5"/>
    <x v="0"/>
    <n v="35"/>
    <n v="1.4583333333333333"/>
    <x v="2"/>
    <x v="2"/>
    <x v="0"/>
    <s v="129/84"/>
    <n v="74"/>
    <n v="4800"/>
    <s v="Partially Achieved"/>
    <x v="1"/>
  </r>
  <r>
    <x v="104"/>
    <x v="1"/>
    <x v="9"/>
    <x v="1"/>
    <x v="3"/>
    <n v="7.2"/>
    <s v="Good"/>
    <n v="8"/>
    <x v="0"/>
    <n v="60"/>
    <n v="2.5"/>
    <x v="1"/>
    <x v="3"/>
    <x v="1"/>
    <s v="115/75"/>
    <n v="68"/>
    <n v="7000"/>
    <s v="Half Achieved"/>
    <x v="1"/>
  </r>
  <r>
    <x v="105"/>
    <x v="0"/>
    <x v="9"/>
    <x v="1"/>
    <x v="3"/>
    <n v="6.6"/>
    <s v="Low"/>
    <n v="5"/>
    <x v="0"/>
    <n v="35"/>
    <n v="1.4583333333333333"/>
    <x v="2"/>
    <x v="2"/>
    <x v="0"/>
    <s v="129/84"/>
    <n v="74"/>
    <n v="4800"/>
    <s v="Partially Achieved"/>
    <x v="2"/>
  </r>
  <r>
    <x v="106"/>
    <x v="1"/>
    <x v="10"/>
    <x v="1"/>
    <x v="4"/>
    <n v="6.1"/>
    <s v="Low"/>
    <n v="6"/>
    <x v="0"/>
    <n v="42"/>
    <n v="1.75"/>
    <x v="0"/>
    <x v="0"/>
    <x v="0"/>
    <s v="126/83"/>
    <n v="77"/>
    <n v="4200"/>
    <s v="Partially Achieved"/>
    <x v="0"/>
  </r>
  <r>
    <x v="107"/>
    <x v="0"/>
    <x v="10"/>
    <x v="1"/>
    <x v="5"/>
    <n v="7.8"/>
    <s v="Good"/>
    <n v="8"/>
    <x v="0"/>
    <n v="70"/>
    <n v="2.9166666666666665"/>
    <x v="1"/>
    <x v="3"/>
    <x v="1"/>
    <s v="120/80"/>
    <n v="68"/>
    <n v="7000"/>
    <s v="Half Achieved"/>
    <x v="0"/>
  </r>
  <r>
    <x v="108"/>
    <x v="0"/>
    <x v="10"/>
    <x v="1"/>
    <x v="5"/>
    <n v="7.8"/>
    <s v="Good"/>
    <n v="8"/>
    <x v="0"/>
    <n v="70"/>
    <n v="2.9166666666666665"/>
    <x v="1"/>
    <x v="3"/>
    <x v="1"/>
    <s v="120/80"/>
    <n v="68"/>
    <n v="7000"/>
    <s v="Half Achieved"/>
    <x v="0"/>
  </r>
  <r>
    <x v="109"/>
    <x v="0"/>
    <x v="10"/>
    <x v="1"/>
    <x v="8"/>
    <n v="7.4"/>
    <s v="Good"/>
    <n v="8"/>
    <x v="0"/>
    <n v="60"/>
    <n v="2.5"/>
    <x v="1"/>
    <x v="5"/>
    <x v="1"/>
    <s v="130/85"/>
    <n v="68"/>
    <n v="8000"/>
    <s v="Half Achieved"/>
    <x v="0"/>
  </r>
  <r>
    <x v="110"/>
    <x v="1"/>
    <x v="10"/>
    <x v="1"/>
    <x v="6"/>
    <n v="7.2"/>
    <s v="Good"/>
    <n v="8"/>
    <x v="0"/>
    <n v="60"/>
    <n v="2.5"/>
    <x v="1"/>
    <x v="3"/>
    <x v="1"/>
    <s v="115/75"/>
    <n v="68"/>
    <n v="7000"/>
    <s v="Half Achieved"/>
    <x v="0"/>
  </r>
  <r>
    <x v="111"/>
    <x v="0"/>
    <x v="10"/>
    <x v="1"/>
    <x v="8"/>
    <n v="7.4"/>
    <s v="Good"/>
    <n v="8"/>
    <x v="0"/>
    <n v="60"/>
    <n v="2.5"/>
    <x v="1"/>
    <x v="5"/>
    <x v="1"/>
    <s v="130/85"/>
    <n v="68"/>
    <n v="8000"/>
    <s v="Half Achieved"/>
    <x v="0"/>
  </r>
  <r>
    <x v="112"/>
    <x v="1"/>
    <x v="10"/>
    <x v="1"/>
    <x v="6"/>
    <n v="7.2"/>
    <s v="Good"/>
    <n v="8"/>
    <x v="0"/>
    <n v="60"/>
    <n v="2.5"/>
    <x v="1"/>
    <x v="3"/>
    <x v="1"/>
    <s v="115/75"/>
    <n v="68"/>
    <n v="7000"/>
    <s v="Half Achieved"/>
    <x v="0"/>
  </r>
  <r>
    <x v="113"/>
    <x v="0"/>
    <x v="10"/>
    <x v="1"/>
    <x v="8"/>
    <n v="7.4"/>
    <s v="Good"/>
    <n v="8"/>
    <x v="0"/>
    <n v="60"/>
    <n v="2.5"/>
    <x v="1"/>
    <x v="5"/>
    <x v="1"/>
    <s v="130/85"/>
    <n v="68"/>
    <n v="8000"/>
    <s v="Half Achieved"/>
    <x v="0"/>
  </r>
  <r>
    <x v="114"/>
    <x v="1"/>
    <x v="10"/>
    <x v="1"/>
    <x v="6"/>
    <n v="7.2"/>
    <s v="Good"/>
    <n v="8"/>
    <x v="0"/>
    <n v="60"/>
    <n v="2.5"/>
    <x v="1"/>
    <x v="3"/>
    <x v="1"/>
    <s v="115/75"/>
    <n v="68"/>
    <n v="7000"/>
    <s v="Half Achieved"/>
    <x v="0"/>
  </r>
  <r>
    <x v="115"/>
    <x v="1"/>
    <x v="10"/>
    <x v="1"/>
    <x v="6"/>
    <n v="7.2"/>
    <s v="Good"/>
    <n v="8"/>
    <x v="0"/>
    <n v="60"/>
    <n v="2.5"/>
    <x v="1"/>
    <x v="3"/>
    <x v="1"/>
    <s v="115/75"/>
    <n v="68"/>
    <n v="7000"/>
    <s v="Half Achieved"/>
    <x v="0"/>
  </r>
  <r>
    <x v="116"/>
    <x v="1"/>
    <x v="10"/>
    <x v="1"/>
    <x v="6"/>
    <n v="7.2"/>
    <s v="Good"/>
    <n v="8"/>
    <x v="0"/>
    <n v="60"/>
    <n v="2.5"/>
    <x v="1"/>
    <x v="3"/>
    <x v="1"/>
    <s v="115/75"/>
    <n v="68"/>
    <n v="7000"/>
    <s v="Half Achieved"/>
    <x v="0"/>
  </r>
  <r>
    <x v="117"/>
    <x v="1"/>
    <x v="10"/>
    <x v="1"/>
    <x v="6"/>
    <n v="7.2"/>
    <s v="Good"/>
    <n v="8"/>
    <x v="0"/>
    <n v="60"/>
    <n v="2.5"/>
    <x v="1"/>
    <x v="3"/>
    <x v="1"/>
    <s v="115/75"/>
    <n v="68"/>
    <n v="7000"/>
    <s v="Half Achieved"/>
    <x v="0"/>
  </r>
  <r>
    <x v="118"/>
    <x v="1"/>
    <x v="10"/>
    <x v="1"/>
    <x v="6"/>
    <n v="7.2"/>
    <s v="Good"/>
    <n v="8"/>
    <x v="0"/>
    <n v="60"/>
    <n v="2.5"/>
    <x v="1"/>
    <x v="3"/>
    <x v="1"/>
    <s v="115/75"/>
    <n v="68"/>
    <n v="7000"/>
    <s v="Half Achieved"/>
    <x v="0"/>
  </r>
  <r>
    <x v="119"/>
    <x v="1"/>
    <x v="10"/>
    <x v="1"/>
    <x v="6"/>
    <n v="7.2"/>
    <s v="Good"/>
    <n v="8"/>
    <x v="0"/>
    <n v="60"/>
    <n v="2.5"/>
    <x v="1"/>
    <x v="3"/>
    <x v="1"/>
    <s v="115/75"/>
    <n v="68"/>
    <n v="7000"/>
    <s v="Half Achieved"/>
    <x v="0"/>
  </r>
  <r>
    <x v="120"/>
    <x v="1"/>
    <x v="10"/>
    <x v="1"/>
    <x v="6"/>
    <n v="7.2"/>
    <s v="Good"/>
    <n v="8"/>
    <x v="0"/>
    <n v="60"/>
    <n v="2.5"/>
    <x v="1"/>
    <x v="3"/>
    <x v="1"/>
    <s v="115/75"/>
    <n v="68"/>
    <n v="7000"/>
    <s v="Half Achieved"/>
    <x v="0"/>
  </r>
  <r>
    <x v="121"/>
    <x v="1"/>
    <x v="10"/>
    <x v="1"/>
    <x v="6"/>
    <n v="7.2"/>
    <s v="Good"/>
    <n v="8"/>
    <x v="0"/>
    <n v="60"/>
    <n v="2.5"/>
    <x v="1"/>
    <x v="3"/>
    <x v="1"/>
    <s v="115/75"/>
    <n v="68"/>
    <n v="7000"/>
    <s v="Half Achieved"/>
    <x v="0"/>
  </r>
  <r>
    <x v="122"/>
    <x v="1"/>
    <x v="10"/>
    <x v="1"/>
    <x v="6"/>
    <n v="7.2"/>
    <s v="Good"/>
    <n v="8"/>
    <x v="0"/>
    <n v="60"/>
    <n v="2.5"/>
    <x v="1"/>
    <x v="3"/>
    <x v="1"/>
    <s v="115/75"/>
    <n v="68"/>
    <n v="7000"/>
    <s v="Half Achieved"/>
    <x v="0"/>
  </r>
  <r>
    <x v="123"/>
    <x v="1"/>
    <x v="10"/>
    <x v="1"/>
    <x v="6"/>
    <n v="7.2"/>
    <s v="Good"/>
    <n v="8"/>
    <x v="0"/>
    <n v="60"/>
    <n v="2.5"/>
    <x v="1"/>
    <x v="3"/>
    <x v="1"/>
    <s v="115/75"/>
    <n v="68"/>
    <n v="7000"/>
    <s v="Half Achieved"/>
    <x v="0"/>
  </r>
  <r>
    <x v="124"/>
    <x v="1"/>
    <x v="10"/>
    <x v="1"/>
    <x v="6"/>
    <n v="7.2"/>
    <s v="Good"/>
    <n v="8"/>
    <x v="0"/>
    <n v="60"/>
    <n v="2.5"/>
    <x v="1"/>
    <x v="3"/>
    <x v="1"/>
    <s v="115/75"/>
    <n v="68"/>
    <n v="7000"/>
    <s v="Half Achieved"/>
    <x v="0"/>
  </r>
  <r>
    <x v="125"/>
    <x v="1"/>
    <x v="10"/>
    <x v="1"/>
    <x v="4"/>
    <n v="7.5"/>
    <s v="Good"/>
    <n v="8"/>
    <x v="0"/>
    <n v="60"/>
    <n v="2.5"/>
    <x v="1"/>
    <x v="3"/>
    <x v="1"/>
    <s v="120/80"/>
    <n v="70"/>
    <n v="8000"/>
    <s v="Half Achieved"/>
    <x v="0"/>
  </r>
  <r>
    <x v="126"/>
    <x v="0"/>
    <x v="11"/>
    <x v="1"/>
    <x v="8"/>
    <n v="7.3"/>
    <s v="Good"/>
    <n v="8"/>
    <x v="0"/>
    <n v="60"/>
    <n v="2.5"/>
    <x v="1"/>
    <x v="5"/>
    <x v="1"/>
    <s v="130/85"/>
    <n v="68"/>
    <n v="8000"/>
    <s v="Half Achieved"/>
    <x v="0"/>
  </r>
  <r>
    <x v="127"/>
    <x v="1"/>
    <x v="11"/>
    <x v="1"/>
    <x v="6"/>
    <n v="7.1"/>
    <s v="Good"/>
    <n v="8"/>
    <x v="0"/>
    <n v="60"/>
    <n v="2.5"/>
    <x v="1"/>
    <x v="3"/>
    <x v="1"/>
    <s v="115/75"/>
    <n v="68"/>
    <n v="7000"/>
    <s v="Half Achieved"/>
    <x v="0"/>
  </r>
  <r>
    <x v="128"/>
    <x v="0"/>
    <x v="11"/>
    <x v="1"/>
    <x v="8"/>
    <n v="7.3"/>
    <s v="Good"/>
    <n v="8"/>
    <x v="0"/>
    <n v="60"/>
    <n v="2.5"/>
    <x v="1"/>
    <x v="5"/>
    <x v="1"/>
    <s v="130/85"/>
    <n v="68"/>
    <n v="8000"/>
    <s v="Half Achieved"/>
    <x v="0"/>
  </r>
  <r>
    <x v="129"/>
    <x v="0"/>
    <x v="11"/>
    <x v="1"/>
    <x v="8"/>
    <n v="7.3"/>
    <s v="Good"/>
    <n v="8"/>
    <x v="0"/>
    <n v="60"/>
    <n v="2.5"/>
    <x v="1"/>
    <x v="5"/>
    <x v="1"/>
    <s v="130/85"/>
    <n v="68"/>
    <n v="8000"/>
    <s v="Half Achieved"/>
    <x v="0"/>
  </r>
  <r>
    <x v="130"/>
    <x v="1"/>
    <x v="11"/>
    <x v="1"/>
    <x v="6"/>
    <n v="7.1"/>
    <s v="Good"/>
    <n v="8"/>
    <x v="0"/>
    <n v="60"/>
    <n v="2.5"/>
    <x v="1"/>
    <x v="3"/>
    <x v="1"/>
    <s v="115/75"/>
    <n v="68"/>
    <n v="7000"/>
    <s v="Half Achieved"/>
    <x v="0"/>
  </r>
  <r>
    <x v="131"/>
    <x v="0"/>
    <x v="11"/>
    <x v="1"/>
    <x v="8"/>
    <n v="7.3"/>
    <s v="Good"/>
    <n v="8"/>
    <x v="0"/>
    <n v="60"/>
    <n v="2.5"/>
    <x v="1"/>
    <x v="5"/>
    <x v="1"/>
    <s v="130/85"/>
    <n v="68"/>
    <n v="8000"/>
    <s v="Half Achieved"/>
    <x v="0"/>
  </r>
  <r>
    <x v="132"/>
    <x v="0"/>
    <x v="11"/>
    <x v="1"/>
    <x v="8"/>
    <n v="7.3"/>
    <s v="Good"/>
    <n v="8"/>
    <x v="0"/>
    <n v="60"/>
    <n v="2.5"/>
    <x v="1"/>
    <x v="5"/>
    <x v="1"/>
    <s v="130/85"/>
    <n v="68"/>
    <n v="8000"/>
    <s v="Half Achieved"/>
    <x v="0"/>
  </r>
  <r>
    <x v="133"/>
    <x v="1"/>
    <x v="11"/>
    <x v="1"/>
    <x v="6"/>
    <n v="7.1"/>
    <s v="Good"/>
    <n v="8"/>
    <x v="0"/>
    <n v="60"/>
    <n v="2.5"/>
    <x v="1"/>
    <x v="3"/>
    <x v="1"/>
    <s v="115/75"/>
    <n v="68"/>
    <n v="7000"/>
    <s v="Half Achieved"/>
    <x v="0"/>
  </r>
  <r>
    <x v="134"/>
    <x v="0"/>
    <x v="11"/>
    <x v="1"/>
    <x v="8"/>
    <n v="7.3"/>
    <s v="Good"/>
    <n v="8"/>
    <x v="0"/>
    <n v="60"/>
    <n v="2.5"/>
    <x v="1"/>
    <x v="5"/>
    <x v="1"/>
    <s v="130/85"/>
    <n v="68"/>
    <n v="8000"/>
    <s v="Half Achieved"/>
    <x v="0"/>
  </r>
  <r>
    <x v="135"/>
    <x v="0"/>
    <x v="11"/>
    <x v="1"/>
    <x v="8"/>
    <n v="7.3"/>
    <s v="Good"/>
    <n v="8"/>
    <x v="0"/>
    <n v="60"/>
    <n v="2.5"/>
    <x v="1"/>
    <x v="5"/>
    <x v="1"/>
    <s v="130/85"/>
    <n v="68"/>
    <n v="8000"/>
    <s v="Half Achieved"/>
    <x v="0"/>
  </r>
  <r>
    <x v="136"/>
    <x v="1"/>
    <x v="11"/>
    <x v="1"/>
    <x v="6"/>
    <n v="7.1"/>
    <s v="Good"/>
    <n v="8"/>
    <x v="0"/>
    <n v="60"/>
    <n v="2.5"/>
    <x v="1"/>
    <x v="3"/>
    <x v="1"/>
    <s v="115/75"/>
    <n v="68"/>
    <n v="7000"/>
    <s v="Half Achieved"/>
    <x v="0"/>
  </r>
  <r>
    <x v="137"/>
    <x v="0"/>
    <x v="11"/>
    <x v="1"/>
    <x v="8"/>
    <n v="7.1"/>
    <s v="Good"/>
    <n v="8"/>
    <x v="0"/>
    <n v="60"/>
    <n v="2.5"/>
    <x v="1"/>
    <x v="5"/>
    <x v="1"/>
    <s v="130/85"/>
    <n v="68"/>
    <n v="8000"/>
    <s v="Half Achieved"/>
    <x v="0"/>
  </r>
  <r>
    <x v="138"/>
    <x v="1"/>
    <x v="11"/>
    <x v="1"/>
    <x v="6"/>
    <n v="7.1"/>
    <s v="Good"/>
    <n v="8"/>
    <x v="0"/>
    <n v="60"/>
    <n v="2.5"/>
    <x v="1"/>
    <x v="3"/>
    <x v="1"/>
    <s v="115/75"/>
    <n v="68"/>
    <n v="7000"/>
    <s v="Half Achieved"/>
    <x v="0"/>
  </r>
  <r>
    <x v="139"/>
    <x v="0"/>
    <x v="11"/>
    <x v="1"/>
    <x v="8"/>
    <n v="7.1"/>
    <s v="Good"/>
    <n v="8"/>
    <x v="0"/>
    <n v="60"/>
    <n v="2.5"/>
    <x v="1"/>
    <x v="5"/>
    <x v="1"/>
    <s v="130/85"/>
    <n v="68"/>
    <n v="8000"/>
    <s v="Half Achieved"/>
    <x v="0"/>
  </r>
  <r>
    <x v="140"/>
    <x v="1"/>
    <x v="11"/>
    <x v="1"/>
    <x v="6"/>
    <n v="7.1"/>
    <s v="Good"/>
    <n v="8"/>
    <x v="0"/>
    <n v="60"/>
    <n v="2.5"/>
    <x v="1"/>
    <x v="3"/>
    <x v="1"/>
    <s v="115/75"/>
    <n v="68"/>
    <n v="7000"/>
    <s v="Half Achieved"/>
    <x v="0"/>
  </r>
  <r>
    <x v="141"/>
    <x v="0"/>
    <x v="11"/>
    <x v="1"/>
    <x v="8"/>
    <n v="7.1"/>
    <s v="Good"/>
    <n v="8"/>
    <x v="0"/>
    <n v="60"/>
    <n v="2.5"/>
    <x v="1"/>
    <x v="5"/>
    <x v="1"/>
    <s v="130/85"/>
    <n v="68"/>
    <n v="8000"/>
    <s v="Half Achieved"/>
    <x v="0"/>
  </r>
  <r>
    <x v="142"/>
    <x v="1"/>
    <x v="11"/>
    <x v="1"/>
    <x v="6"/>
    <n v="7.1"/>
    <s v="Good"/>
    <n v="8"/>
    <x v="0"/>
    <n v="60"/>
    <n v="2.5"/>
    <x v="1"/>
    <x v="3"/>
    <x v="1"/>
    <s v="115/75"/>
    <n v="68"/>
    <n v="7000"/>
    <s v="Half Achieved"/>
    <x v="0"/>
  </r>
  <r>
    <x v="143"/>
    <x v="1"/>
    <x v="11"/>
    <x v="1"/>
    <x v="6"/>
    <n v="7.1"/>
    <s v="Good"/>
    <n v="8"/>
    <x v="0"/>
    <n v="60"/>
    <n v="2.5"/>
    <x v="1"/>
    <x v="3"/>
    <x v="1"/>
    <s v="115/75"/>
    <n v="68"/>
    <n v="7000"/>
    <s v="Half Achieved"/>
    <x v="0"/>
  </r>
  <r>
    <x v="144"/>
    <x v="0"/>
    <x v="11"/>
    <x v="1"/>
    <x v="8"/>
    <n v="7.1"/>
    <s v="Good"/>
    <n v="8"/>
    <x v="0"/>
    <n v="60"/>
    <n v="2.5"/>
    <x v="1"/>
    <x v="5"/>
    <x v="1"/>
    <s v="130/85"/>
    <n v="68"/>
    <n v="8000"/>
    <s v="Half Achieved"/>
    <x v="1"/>
  </r>
  <r>
    <x v="145"/>
    <x v="1"/>
    <x v="11"/>
    <x v="1"/>
    <x v="8"/>
    <n v="7.4"/>
    <s v="Good"/>
    <n v="7"/>
    <x v="0"/>
    <n v="60"/>
    <n v="2.5"/>
    <x v="1"/>
    <x v="5"/>
    <x v="2"/>
    <s v="135/88"/>
    <n v="84"/>
    <n v="3300"/>
    <s v="Partially Achieved"/>
    <x v="1"/>
  </r>
  <r>
    <x v="146"/>
    <x v="0"/>
    <x v="12"/>
    <x v="1"/>
    <x v="8"/>
    <n v="7.2"/>
    <s v="Good"/>
    <n v="8"/>
    <x v="0"/>
    <n v="60"/>
    <n v="2.5"/>
    <x v="1"/>
    <x v="5"/>
    <x v="1"/>
    <s v="130/85"/>
    <n v="68"/>
    <n v="8000"/>
    <s v="Half Achieved"/>
    <x v="2"/>
  </r>
  <r>
    <x v="147"/>
    <x v="0"/>
    <x v="12"/>
    <x v="1"/>
    <x v="5"/>
    <n v="6.5"/>
    <s v="Low"/>
    <n v="5"/>
    <x v="0"/>
    <n v="40"/>
    <n v="1.6666666666666667"/>
    <x v="2"/>
    <x v="2"/>
    <x v="0"/>
    <s v="132/87"/>
    <n v="80"/>
    <n v="4000"/>
    <s v="Partially Achieved"/>
    <x v="2"/>
  </r>
  <r>
    <x v="148"/>
    <x v="1"/>
    <x v="12"/>
    <x v="1"/>
    <x v="8"/>
    <n v="6.9"/>
    <s v="Low"/>
    <n v="7"/>
    <x v="0"/>
    <n v="50"/>
    <n v="2.0833333333333335"/>
    <x v="1"/>
    <x v="0"/>
    <x v="1"/>
    <s v="128/85"/>
    <n v="75"/>
    <n v="5500"/>
    <s v="Half Achieved"/>
    <x v="0"/>
  </r>
  <r>
    <x v="149"/>
    <x v="1"/>
    <x v="12"/>
    <x v="1"/>
    <x v="6"/>
    <n v="8"/>
    <s v="Good"/>
    <n v="9"/>
    <x v="0"/>
    <n v="80"/>
    <n v="3.3333333333333335"/>
    <x v="1"/>
    <x v="4"/>
    <x v="1"/>
    <s v="115/78"/>
    <n v="67"/>
    <n v="7500"/>
    <s v="Half Achieved"/>
    <x v="0"/>
  </r>
  <r>
    <x v="150"/>
    <x v="1"/>
    <x v="12"/>
    <x v="1"/>
    <x v="6"/>
    <n v="8"/>
    <s v="Good"/>
    <n v="9"/>
    <x v="0"/>
    <n v="80"/>
    <n v="3.3333333333333335"/>
    <x v="1"/>
    <x v="4"/>
    <x v="1"/>
    <s v="115/78"/>
    <n v="67"/>
    <n v="7500"/>
    <s v="Half Achieved"/>
    <x v="0"/>
  </r>
  <r>
    <x v="151"/>
    <x v="0"/>
    <x v="12"/>
    <x v="1"/>
    <x v="8"/>
    <n v="7.2"/>
    <s v="Good"/>
    <n v="8"/>
    <x v="0"/>
    <n v="60"/>
    <n v="2.5"/>
    <x v="1"/>
    <x v="5"/>
    <x v="1"/>
    <s v="130/85"/>
    <n v="68"/>
    <n v="8000"/>
    <s v="Half Achieved"/>
    <x v="0"/>
  </r>
  <r>
    <x v="152"/>
    <x v="0"/>
    <x v="12"/>
    <x v="1"/>
    <x v="8"/>
    <n v="7.2"/>
    <s v="Good"/>
    <n v="8"/>
    <x v="0"/>
    <n v="60"/>
    <n v="2.5"/>
    <x v="1"/>
    <x v="5"/>
    <x v="1"/>
    <s v="130/85"/>
    <n v="68"/>
    <n v="8000"/>
    <s v="Half Achieved"/>
    <x v="0"/>
  </r>
  <r>
    <x v="153"/>
    <x v="0"/>
    <x v="12"/>
    <x v="1"/>
    <x v="8"/>
    <n v="7.2"/>
    <s v="Good"/>
    <n v="8"/>
    <x v="0"/>
    <n v="60"/>
    <n v="2.5"/>
    <x v="1"/>
    <x v="5"/>
    <x v="1"/>
    <s v="130/85"/>
    <n v="68"/>
    <n v="8000"/>
    <s v="Half Achieved"/>
    <x v="0"/>
  </r>
  <r>
    <x v="154"/>
    <x v="0"/>
    <x v="12"/>
    <x v="1"/>
    <x v="8"/>
    <n v="7.2"/>
    <s v="Good"/>
    <n v="8"/>
    <x v="0"/>
    <n v="60"/>
    <n v="2.5"/>
    <x v="1"/>
    <x v="5"/>
    <x v="1"/>
    <s v="130/85"/>
    <n v="68"/>
    <n v="8000"/>
    <s v="Half Achieved"/>
    <x v="0"/>
  </r>
  <r>
    <x v="155"/>
    <x v="0"/>
    <x v="12"/>
    <x v="1"/>
    <x v="8"/>
    <n v="7.2"/>
    <s v="Good"/>
    <n v="8"/>
    <x v="0"/>
    <n v="60"/>
    <n v="2.5"/>
    <x v="1"/>
    <x v="5"/>
    <x v="1"/>
    <s v="130/85"/>
    <n v="68"/>
    <n v="8000"/>
    <s v="Half Achieved"/>
    <x v="0"/>
  </r>
  <r>
    <x v="156"/>
    <x v="0"/>
    <x v="12"/>
    <x v="1"/>
    <x v="8"/>
    <n v="7.2"/>
    <s v="Good"/>
    <n v="8"/>
    <x v="0"/>
    <n v="60"/>
    <n v="2.5"/>
    <x v="1"/>
    <x v="5"/>
    <x v="1"/>
    <s v="130/85"/>
    <n v="68"/>
    <n v="8000"/>
    <s v="Half Achieved"/>
    <x v="0"/>
  </r>
  <r>
    <x v="157"/>
    <x v="0"/>
    <x v="12"/>
    <x v="1"/>
    <x v="8"/>
    <n v="7.2"/>
    <s v="Good"/>
    <n v="8"/>
    <x v="0"/>
    <n v="60"/>
    <n v="2.5"/>
    <x v="1"/>
    <x v="5"/>
    <x v="1"/>
    <s v="130/85"/>
    <n v="68"/>
    <n v="8000"/>
    <s v="Half Achieved"/>
    <x v="0"/>
  </r>
  <r>
    <x v="158"/>
    <x v="0"/>
    <x v="12"/>
    <x v="1"/>
    <x v="8"/>
    <n v="7.2"/>
    <s v="Good"/>
    <n v="8"/>
    <x v="0"/>
    <n v="60"/>
    <n v="2.5"/>
    <x v="1"/>
    <x v="5"/>
    <x v="1"/>
    <s v="130/85"/>
    <n v="68"/>
    <n v="8000"/>
    <s v="Half Achieved"/>
    <x v="0"/>
  </r>
  <r>
    <x v="159"/>
    <x v="0"/>
    <x v="12"/>
    <x v="1"/>
    <x v="8"/>
    <n v="7.2"/>
    <s v="Good"/>
    <n v="8"/>
    <x v="0"/>
    <n v="60"/>
    <n v="2.5"/>
    <x v="1"/>
    <x v="5"/>
    <x v="1"/>
    <s v="130/85"/>
    <n v="68"/>
    <n v="8000"/>
    <s v="Half Achieved"/>
    <x v="0"/>
  </r>
  <r>
    <x v="160"/>
    <x v="0"/>
    <x v="12"/>
    <x v="1"/>
    <x v="8"/>
    <n v="7.2"/>
    <s v="Good"/>
    <n v="8"/>
    <x v="0"/>
    <n v="60"/>
    <n v="2.5"/>
    <x v="1"/>
    <x v="5"/>
    <x v="1"/>
    <s v="130/85"/>
    <n v="68"/>
    <n v="8000"/>
    <s v="Half Achieved"/>
    <x v="0"/>
  </r>
  <r>
    <x v="161"/>
    <x v="1"/>
    <x v="13"/>
    <x v="2"/>
    <x v="6"/>
    <n v="7.2"/>
    <s v="Good"/>
    <n v="8"/>
    <x v="0"/>
    <n v="55"/>
    <n v="2.2916666666666665"/>
    <x v="1"/>
    <x v="0"/>
    <x v="1"/>
    <s v="119/77"/>
    <n v="73"/>
    <n v="7300"/>
    <s v="Half Achieved"/>
    <x v="0"/>
  </r>
  <r>
    <x v="162"/>
    <x v="1"/>
    <x v="13"/>
    <x v="2"/>
    <x v="6"/>
    <n v="7.2"/>
    <s v="Good"/>
    <n v="8"/>
    <x v="0"/>
    <n v="55"/>
    <n v="2.2916666666666665"/>
    <x v="1"/>
    <x v="0"/>
    <x v="1"/>
    <s v="119/77"/>
    <n v="73"/>
    <n v="7300"/>
    <s v="Half Achieved"/>
    <x v="0"/>
  </r>
  <r>
    <x v="163"/>
    <x v="0"/>
    <x v="13"/>
    <x v="2"/>
    <x v="8"/>
    <n v="7.9"/>
    <s v="Good"/>
    <n v="8"/>
    <x v="0"/>
    <n v="90"/>
    <n v="3.75"/>
    <x v="1"/>
    <x v="5"/>
    <x v="1"/>
    <s v="130/85"/>
    <n v="68"/>
    <n v="8000"/>
    <s v="Half Achieved"/>
    <x v="0"/>
  </r>
  <r>
    <x v="164"/>
    <x v="0"/>
    <x v="13"/>
    <x v="2"/>
    <x v="8"/>
    <n v="7.9"/>
    <s v="Good"/>
    <n v="8"/>
    <x v="0"/>
    <n v="90"/>
    <n v="3.75"/>
    <x v="1"/>
    <x v="5"/>
    <x v="1"/>
    <s v="130/85"/>
    <n v="68"/>
    <n v="8000"/>
    <s v="Half Achieved"/>
    <x v="0"/>
  </r>
  <r>
    <x v="165"/>
    <x v="0"/>
    <x v="14"/>
    <x v="2"/>
    <x v="8"/>
    <n v="7.6"/>
    <s v="Good"/>
    <n v="8"/>
    <x v="0"/>
    <n v="90"/>
    <n v="3.75"/>
    <x v="1"/>
    <x v="5"/>
    <x v="1"/>
    <s v="130/85"/>
    <n v="70"/>
    <n v="8000"/>
    <s v="Half Achieved"/>
    <x v="2"/>
  </r>
  <r>
    <x v="166"/>
    <x v="0"/>
    <x v="14"/>
    <x v="2"/>
    <x v="5"/>
    <n v="7.3"/>
    <s v="Good"/>
    <n v="8"/>
    <x v="0"/>
    <n v="70"/>
    <n v="2.9166666666666665"/>
    <x v="1"/>
    <x v="0"/>
    <x v="1"/>
    <s v="121/79"/>
    <n v="72"/>
    <n v="6200"/>
    <s v="Half Achieved"/>
    <x v="0"/>
  </r>
  <r>
    <x v="167"/>
    <x v="0"/>
    <x v="14"/>
    <x v="2"/>
    <x v="8"/>
    <n v="7.1"/>
    <s v="Good"/>
    <n v="7"/>
    <x v="0"/>
    <n v="55"/>
    <n v="2.2916666666666665"/>
    <x v="1"/>
    <x v="0"/>
    <x v="0"/>
    <s v="125/82"/>
    <n v="72"/>
    <n v="6000"/>
    <s v="Half Achieved"/>
    <x v="0"/>
  </r>
  <r>
    <x v="168"/>
    <x v="0"/>
    <x v="14"/>
    <x v="2"/>
    <x v="8"/>
    <n v="7.1"/>
    <s v="Good"/>
    <n v="7"/>
    <x v="0"/>
    <n v="55"/>
    <n v="2.2916666666666665"/>
    <x v="1"/>
    <x v="0"/>
    <x v="0"/>
    <s v="125/82"/>
    <n v="72"/>
    <n v="6000"/>
    <s v="Half Achieved"/>
    <x v="0"/>
  </r>
  <r>
    <x v="169"/>
    <x v="0"/>
    <x v="14"/>
    <x v="2"/>
    <x v="8"/>
    <n v="7.7"/>
    <s v="Good"/>
    <n v="8"/>
    <x v="0"/>
    <n v="90"/>
    <n v="3.75"/>
    <x v="1"/>
    <x v="5"/>
    <x v="1"/>
    <s v="130/85"/>
    <n v="70"/>
    <n v="8000"/>
    <s v="Half Achieved"/>
    <x v="0"/>
  </r>
  <r>
    <x v="170"/>
    <x v="0"/>
    <x v="14"/>
    <x v="2"/>
    <x v="8"/>
    <n v="7.7"/>
    <s v="Good"/>
    <n v="8"/>
    <x v="0"/>
    <n v="90"/>
    <n v="3.75"/>
    <x v="1"/>
    <x v="5"/>
    <x v="1"/>
    <s v="130/85"/>
    <n v="70"/>
    <n v="8000"/>
    <s v="Half Achieved"/>
    <x v="0"/>
  </r>
  <r>
    <x v="171"/>
    <x v="0"/>
    <x v="14"/>
    <x v="2"/>
    <x v="8"/>
    <n v="7.7"/>
    <s v="Good"/>
    <n v="8"/>
    <x v="0"/>
    <n v="90"/>
    <n v="3.75"/>
    <x v="1"/>
    <x v="5"/>
    <x v="1"/>
    <s v="130/85"/>
    <n v="70"/>
    <n v="8000"/>
    <s v="Half Achieved"/>
    <x v="0"/>
  </r>
  <r>
    <x v="172"/>
    <x v="0"/>
    <x v="14"/>
    <x v="2"/>
    <x v="8"/>
    <n v="7.7"/>
    <s v="Good"/>
    <n v="8"/>
    <x v="0"/>
    <n v="90"/>
    <n v="3.75"/>
    <x v="1"/>
    <x v="5"/>
    <x v="1"/>
    <s v="130/85"/>
    <n v="70"/>
    <n v="8000"/>
    <s v="Half Achieved"/>
    <x v="0"/>
  </r>
  <r>
    <x v="173"/>
    <x v="0"/>
    <x v="14"/>
    <x v="2"/>
    <x v="8"/>
    <n v="7.7"/>
    <s v="Good"/>
    <n v="8"/>
    <x v="0"/>
    <n v="90"/>
    <n v="3.75"/>
    <x v="1"/>
    <x v="5"/>
    <x v="1"/>
    <s v="130/85"/>
    <n v="70"/>
    <n v="8000"/>
    <s v="Half Achieved"/>
    <x v="0"/>
  </r>
  <r>
    <x v="174"/>
    <x v="0"/>
    <x v="14"/>
    <x v="2"/>
    <x v="8"/>
    <n v="7.6"/>
    <s v="Good"/>
    <n v="8"/>
    <x v="0"/>
    <n v="90"/>
    <n v="3.75"/>
    <x v="1"/>
    <x v="5"/>
    <x v="1"/>
    <s v="130/85"/>
    <n v="70"/>
    <n v="8000"/>
    <s v="Half Achieved"/>
    <x v="0"/>
  </r>
  <r>
    <x v="175"/>
    <x v="0"/>
    <x v="14"/>
    <x v="2"/>
    <x v="8"/>
    <n v="7.6"/>
    <s v="Good"/>
    <n v="8"/>
    <x v="0"/>
    <n v="90"/>
    <n v="3.75"/>
    <x v="1"/>
    <x v="5"/>
    <x v="1"/>
    <s v="130/85"/>
    <n v="70"/>
    <n v="8000"/>
    <s v="Half Achieved"/>
    <x v="0"/>
  </r>
  <r>
    <x v="176"/>
    <x v="0"/>
    <x v="14"/>
    <x v="2"/>
    <x v="8"/>
    <n v="7.6"/>
    <s v="Good"/>
    <n v="8"/>
    <x v="0"/>
    <n v="90"/>
    <n v="3.75"/>
    <x v="1"/>
    <x v="5"/>
    <x v="1"/>
    <s v="130/85"/>
    <n v="70"/>
    <n v="8000"/>
    <s v="Half Achieved"/>
    <x v="0"/>
  </r>
  <r>
    <x v="177"/>
    <x v="0"/>
    <x v="15"/>
    <x v="2"/>
    <x v="9"/>
    <n v="6.5"/>
    <s v="Low"/>
    <n v="6"/>
    <x v="0"/>
    <n v="45"/>
    <n v="1.875"/>
    <x v="0"/>
    <x v="2"/>
    <x v="0"/>
    <s v="130/85"/>
    <n v="72"/>
    <n v="6000"/>
    <s v="Half Achieved"/>
    <x v="2"/>
  </r>
  <r>
    <x v="178"/>
    <x v="0"/>
    <x v="15"/>
    <x v="2"/>
    <x v="8"/>
    <n v="7.8"/>
    <s v="Good"/>
    <n v="8"/>
    <x v="0"/>
    <n v="90"/>
    <n v="3.75"/>
    <x v="1"/>
    <x v="5"/>
    <x v="1"/>
    <s v="130/85"/>
    <n v="70"/>
    <n v="8000"/>
    <s v="Half Achieved"/>
    <x v="0"/>
  </r>
  <r>
    <x v="179"/>
    <x v="0"/>
    <x v="15"/>
    <x v="2"/>
    <x v="8"/>
    <n v="7.8"/>
    <s v="Good"/>
    <n v="8"/>
    <x v="0"/>
    <n v="90"/>
    <n v="3.75"/>
    <x v="1"/>
    <x v="5"/>
    <x v="1"/>
    <s v="130/85"/>
    <n v="70"/>
    <n v="8000"/>
    <s v="Half Achieved"/>
    <x v="0"/>
  </r>
  <r>
    <x v="180"/>
    <x v="0"/>
    <x v="15"/>
    <x v="2"/>
    <x v="8"/>
    <n v="7.8"/>
    <s v="Good"/>
    <n v="8"/>
    <x v="0"/>
    <n v="90"/>
    <n v="3.75"/>
    <x v="1"/>
    <x v="5"/>
    <x v="1"/>
    <s v="130/85"/>
    <n v="70"/>
    <n v="8000"/>
    <s v="Half Achieved"/>
    <x v="0"/>
  </r>
  <r>
    <x v="181"/>
    <x v="0"/>
    <x v="15"/>
    <x v="2"/>
    <x v="8"/>
    <n v="7.8"/>
    <s v="Good"/>
    <n v="8"/>
    <x v="0"/>
    <n v="90"/>
    <n v="3.75"/>
    <x v="1"/>
    <x v="5"/>
    <x v="1"/>
    <s v="130/85"/>
    <n v="70"/>
    <n v="8000"/>
    <s v="Half Achieved"/>
    <x v="0"/>
  </r>
  <r>
    <x v="182"/>
    <x v="0"/>
    <x v="15"/>
    <x v="2"/>
    <x v="8"/>
    <n v="7.8"/>
    <s v="Good"/>
    <n v="8"/>
    <x v="0"/>
    <n v="90"/>
    <n v="3.75"/>
    <x v="1"/>
    <x v="5"/>
    <x v="1"/>
    <s v="130/85"/>
    <n v="70"/>
    <n v="8000"/>
    <s v="Half Achieved"/>
    <x v="0"/>
  </r>
  <r>
    <x v="183"/>
    <x v="0"/>
    <x v="15"/>
    <x v="2"/>
    <x v="8"/>
    <n v="7.8"/>
    <s v="Good"/>
    <n v="8"/>
    <x v="0"/>
    <n v="90"/>
    <n v="3.75"/>
    <x v="1"/>
    <x v="5"/>
    <x v="1"/>
    <s v="130/85"/>
    <n v="70"/>
    <n v="8000"/>
    <s v="Half Achieved"/>
    <x v="0"/>
  </r>
  <r>
    <x v="184"/>
    <x v="1"/>
    <x v="15"/>
    <x v="2"/>
    <x v="3"/>
    <n v="6.8"/>
    <s v="Low"/>
    <n v="6"/>
    <x v="0"/>
    <n v="45"/>
    <n v="1.875"/>
    <x v="0"/>
    <x v="2"/>
    <x v="0"/>
    <s v="130/85"/>
    <n v="78"/>
    <n v="5000"/>
    <s v="Half Achieved"/>
    <x v="1"/>
  </r>
  <r>
    <x v="185"/>
    <x v="1"/>
    <x v="15"/>
    <x v="2"/>
    <x v="3"/>
    <n v="6.8"/>
    <s v="Low"/>
    <n v="6"/>
    <x v="0"/>
    <n v="45"/>
    <n v="1.875"/>
    <x v="0"/>
    <x v="2"/>
    <x v="0"/>
    <s v="130/85"/>
    <n v="78"/>
    <n v="5000"/>
    <s v="Half Achieved"/>
    <x v="1"/>
  </r>
  <r>
    <x v="186"/>
    <x v="1"/>
    <x v="16"/>
    <x v="2"/>
    <x v="3"/>
    <n v="6.7"/>
    <s v="Low"/>
    <n v="7"/>
    <x v="0"/>
    <n v="45"/>
    <n v="1.875"/>
    <x v="0"/>
    <x v="3"/>
    <x v="0"/>
    <s v="135/90"/>
    <n v="65"/>
    <n v="6000"/>
    <s v="Half Achieved"/>
    <x v="2"/>
  </r>
  <r>
    <x v="187"/>
    <x v="0"/>
    <x v="16"/>
    <x v="2"/>
    <x v="9"/>
    <n v="6.3"/>
    <s v="Low"/>
    <n v="6"/>
    <x v="0"/>
    <n v="45"/>
    <n v="1.875"/>
    <x v="0"/>
    <x v="2"/>
    <x v="0"/>
    <s v="130/85"/>
    <n v="72"/>
    <n v="6000"/>
    <s v="Half Achieved"/>
    <x v="2"/>
  </r>
  <r>
    <x v="188"/>
    <x v="1"/>
    <x v="16"/>
    <x v="2"/>
    <x v="3"/>
    <n v="6.7"/>
    <s v="Low"/>
    <n v="7"/>
    <x v="0"/>
    <n v="45"/>
    <n v="1.875"/>
    <x v="0"/>
    <x v="3"/>
    <x v="0"/>
    <s v="135/90"/>
    <n v="65"/>
    <n v="6000"/>
    <s v="Half Achieved"/>
    <x v="2"/>
  </r>
  <r>
    <x v="189"/>
    <x v="0"/>
    <x v="16"/>
    <x v="2"/>
    <x v="9"/>
    <n v="6.5"/>
    <s v="Low"/>
    <n v="6"/>
    <x v="0"/>
    <n v="45"/>
    <n v="1.875"/>
    <x v="0"/>
    <x v="2"/>
    <x v="0"/>
    <s v="130/85"/>
    <n v="72"/>
    <n v="6000"/>
    <s v="Half Achieved"/>
    <x v="2"/>
  </r>
  <r>
    <x v="190"/>
    <x v="1"/>
    <x v="16"/>
    <x v="2"/>
    <x v="3"/>
    <n v="6.7"/>
    <s v="Low"/>
    <n v="7"/>
    <x v="0"/>
    <n v="45"/>
    <n v="1.875"/>
    <x v="0"/>
    <x v="3"/>
    <x v="0"/>
    <s v="135/90"/>
    <n v="65"/>
    <n v="6000"/>
    <s v="Half Achieved"/>
    <x v="2"/>
  </r>
  <r>
    <x v="191"/>
    <x v="0"/>
    <x v="16"/>
    <x v="2"/>
    <x v="9"/>
    <n v="6.4"/>
    <s v="Low"/>
    <n v="6"/>
    <x v="0"/>
    <n v="45"/>
    <n v="1.875"/>
    <x v="0"/>
    <x v="2"/>
    <x v="0"/>
    <s v="130/85"/>
    <n v="72"/>
    <n v="6000"/>
    <s v="Half Achieved"/>
    <x v="2"/>
  </r>
  <r>
    <x v="192"/>
    <x v="0"/>
    <x v="16"/>
    <x v="2"/>
    <x v="9"/>
    <n v="6.5"/>
    <s v="Low"/>
    <n v="6"/>
    <x v="0"/>
    <n v="45"/>
    <n v="1.875"/>
    <x v="0"/>
    <x v="2"/>
    <x v="0"/>
    <s v="130/85"/>
    <n v="72"/>
    <n v="6000"/>
    <s v="Half Achieved"/>
    <x v="2"/>
  </r>
  <r>
    <x v="193"/>
    <x v="0"/>
    <x v="16"/>
    <x v="2"/>
    <x v="9"/>
    <n v="6.5"/>
    <s v="Low"/>
    <n v="6"/>
    <x v="0"/>
    <n v="45"/>
    <n v="1.875"/>
    <x v="0"/>
    <x v="2"/>
    <x v="0"/>
    <s v="130/85"/>
    <n v="72"/>
    <n v="6000"/>
    <s v="Half Achieved"/>
    <x v="2"/>
  </r>
  <r>
    <x v="194"/>
    <x v="0"/>
    <x v="16"/>
    <x v="2"/>
    <x v="9"/>
    <n v="6.5"/>
    <s v="Low"/>
    <n v="6"/>
    <x v="0"/>
    <n v="45"/>
    <n v="1.875"/>
    <x v="0"/>
    <x v="2"/>
    <x v="0"/>
    <s v="130/85"/>
    <n v="72"/>
    <n v="6000"/>
    <s v="Half Achieved"/>
    <x v="2"/>
  </r>
  <r>
    <x v="195"/>
    <x v="0"/>
    <x v="16"/>
    <x v="2"/>
    <x v="9"/>
    <n v="6.5"/>
    <s v="Low"/>
    <n v="6"/>
    <x v="0"/>
    <n v="45"/>
    <n v="1.875"/>
    <x v="0"/>
    <x v="2"/>
    <x v="0"/>
    <s v="130/85"/>
    <n v="72"/>
    <n v="6000"/>
    <s v="Half Achieved"/>
    <x v="2"/>
  </r>
  <r>
    <x v="196"/>
    <x v="0"/>
    <x v="16"/>
    <x v="2"/>
    <x v="9"/>
    <n v="6.5"/>
    <s v="Low"/>
    <n v="6"/>
    <x v="0"/>
    <n v="45"/>
    <n v="1.875"/>
    <x v="0"/>
    <x v="2"/>
    <x v="0"/>
    <s v="130/85"/>
    <n v="72"/>
    <n v="6000"/>
    <s v="Half Achieved"/>
    <x v="2"/>
  </r>
  <r>
    <x v="197"/>
    <x v="0"/>
    <x v="16"/>
    <x v="2"/>
    <x v="9"/>
    <n v="6.5"/>
    <s v="Low"/>
    <n v="6"/>
    <x v="0"/>
    <n v="45"/>
    <n v="1.875"/>
    <x v="0"/>
    <x v="2"/>
    <x v="0"/>
    <s v="130/85"/>
    <n v="72"/>
    <n v="6000"/>
    <s v="Half Achieved"/>
    <x v="2"/>
  </r>
  <r>
    <x v="198"/>
    <x v="0"/>
    <x v="16"/>
    <x v="2"/>
    <x v="9"/>
    <n v="6.5"/>
    <s v="Low"/>
    <n v="6"/>
    <x v="0"/>
    <n v="45"/>
    <n v="1.875"/>
    <x v="0"/>
    <x v="2"/>
    <x v="0"/>
    <s v="130/85"/>
    <n v="72"/>
    <n v="6000"/>
    <s v="Half Achieved"/>
    <x v="2"/>
  </r>
  <r>
    <x v="199"/>
    <x v="0"/>
    <x v="16"/>
    <x v="2"/>
    <x v="9"/>
    <n v="6.5"/>
    <s v="Low"/>
    <n v="6"/>
    <x v="0"/>
    <n v="45"/>
    <n v="1.875"/>
    <x v="0"/>
    <x v="2"/>
    <x v="0"/>
    <s v="130/85"/>
    <n v="72"/>
    <n v="6000"/>
    <s v="Half Achieved"/>
    <x v="2"/>
  </r>
  <r>
    <x v="200"/>
    <x v="0"/>
    <x v="16"/>
    <x v="2"/>
    <x v="9"/>
    <n v="6.5"/>
    <s v="Low"/>
    <n v="6"/>
    <x v="0"/>
    <n v="45"/>
    <n v="1.875"/>
    <x v="0"/>
    <x v="2"/>
    <x v="0"/>
    <s v="130/85"/>
    <n v="72"/>
    <n v="6000"/>
    <s v="Half Achieved"/>
    <x v="2"/>
  </r>
  <r>
    <x v="201"/>
    <x v="0"/>
    <x v="16"/>
    <x v="2"/>
    <x v="5"/>
    <n v="7.8"/>
    <s v="Good"/>
    <n v="8"/>
    <x v="0"/>
    <n v="90"/>
    <n v="3.75"/>
    <x v="1"/>
    <x v="5"/>
    <x v="1"/>
    <s v="130/85"/>
    <n v="70"/>
    <n v="8000"/>
    <s v="Half Achieved"/>
    <x v="2"/>
  </r>
  <r>
    <x v="202"/>
    <x v="0"/>
    <x v="16"/>
    <x v="2"/>
    <x v="5"/>
    <n v="7.8"/>
    <s v="Good"/>
    <n v="8"/>
    <x v="0"/>
    <n v="90"/>
    <n v="3.75"/>
    <x v="1"/>
    <x v="5"/>
    <x v="1"/>
    <s v="130/85"/>
    <n v="70"/>
    <n v="8000"/>
    <s v="Half Achieved"/>
    <x v="2"/>
  </r>
  <r>
    <x v="203"/>
    <x v="0"/>
    <x v="16"/>
    <x v="2"/>
    <x v="5"/>
    <n v="6.9"/>
    <s v="Low"/>
    <n v="6"/>
    <x v="0"/>
    <n v="47"/>
    <n v="1.9583333333333333"/>
    <x v="0"/>
    <x v="2"/>
    <x v="1"/>
    <s v="117/76"/>
    <n v="69"/>
    <n v="6800"/>
    <s v="Half Achieved"/>
    <x v="0"/>
  </r>
  <r>
    <x v="204"/>
    <x v="0"/>
    <x v="16"/>
    <x v="2"/>
    <x v="5"/>
    <n v="7.6"/>
    <s v="Good"/>
    <n v="8"/>
    <x v="0"/>
    <n v="75"/>
    <n v="3.125"/>
    <x v="1"/>
    <x v="3"/>
    <x v="0"/>
    <s v="122/80"/>
    <n v="68"/>
    <n v="6800"/>
    <s v="Half Achieved"/>
    <x v="0"/>
  </r>
  <r>
    <x v="205"/>
    <x v="0"/>
    <x v="16"/>
    <x v="2"/>
    <x v="5"/>
    <n v="7.7"/>
    <s v="Good"/>
    <n v="8"/>
    <x v="0"/>
    <n v="90"/>
    <n v="3.75"/>
    <x v="1"/>
    <x v="5"/>
    <x v="1"/>
    <s v="130/85"/>
    <n v="70"/>
    <n v="8000"/>
    <s v="Half Achieved"/>
    <x v="0"/>
  </r>
  <r>
    <x v="206"/>
    <x v="0"/>
    <x v="16"/>
    <x v="2"/>
    <x v="5"/>
    <n v="7.7"/>
    <s v="Good"/>
    <n v="8"/>
    <x v="0"/>
    <n v="90"/>
    <n v="3.75"/>
    <x v="1"/>
    <x v="5"/>
    <x v="1"/>
    <s v="130/85"/>
    <n v="70"/>
    <n v="8000"/>
    <s v="Half Achieved"/>
    <x v="0"/>
  </r>
  <r>
    <x v="207"/>
    <x v="0"/>
    <x v="16"/>
    <x v="2"/>
    <x v="5"/>
    <n v="7.7"/>
    <s v="Good"/>
    <n v="8"/>
    <x v="0"/>
    <n v="90"/>
    <n v="3.75"/>
    <x v="1"/>
    <x v="5"/>
    <x v="1"/>
    <s v="130/85"/>
    <n v="70"/>
    <n v="8000"/>
    <s v="Half Achieved"/>
    <x v="0"/>
  </r>
  <r>
    <x v="208"/>
    <x v="0"/>
    <x v="16"/>
    <x v="2"/>
    <x v="5"/>
    <n v="7.7"/>
    <s v="Good"/>
    <n v="8"/>
    <x v="0"/>
    <n v="90"/>
    <n v="3.75"/>
    <x v="1"/>
    <x v="5"/>
    <x v="1"/>
    <s v="130/85"/>
    <n v="70"/>
    <n v="8000"/>
    <s v="Half Achieved"/>
    <x v="0"/>
  </r>
  <r>
    <x v="209"/>
    <x v="0"/>
    <x v="16"/>
    <x v="2"/>
    <x v="5"/>
    <n v="7.8"/>
    <s v="Good"/>
    <n v="8"/>
    <x v="0"/>
    <n v="90"/>
    <n v="3.75"/>
    <x v="1"/>
    <x v="5"/>
    <x v="1"/>
    <s v="130/85"/>
    <n v="70"/>
    <n v="8000"/>
    <s v="Half Achieved"/>
    <x v="0"/>
  </r>
  <r>
    <x v="210"/>
    <x v="0"/>
    <x v="16"/>
    <x v="2"/>
    <x v="5"/>
    <n v="7.7"/>
    <s v="Good"/>
    <n v="8"/>
    <x v="0"/>
    <n v="90"/>
    <n v="3.75"/>
    <x v="1"/>
    <x v="5"/>
    <x v="1"/>
    <s v="130/85"/>
    <n v="70"/>
    <n v="8000"/>
    <s v="Half Achieved"/>
    <x v="0"/>
  </r>
  <r>
    <x v="211"/>
    <x v="0"/>
    <x v="16"/>
    <x v="2"/>
    <x v="5"/>
    <n v="7.8"/>
    <s v="Good"/>
    <n v="8"/>
    <x v="0"/>
    <n v="90"/>
    <n v="3.75"/>
    <x v="1"/>
    <x v="5"/>
    <x v="1"/>
    <s v="130/85"/>
    <n v="70"/>
    <n v="8000"/>
    <s v="Half Achieved"/>
    <x v="0"/>
  </r>
  <r>
    <x v="212"/>
    <x v="0"/>
    <x v="16"/>
    <x v="2"/>
    <x v="5"/>
    <n v="7.8"/>
    <s v="Good"/>
    <n v="8"/>
    <x v="0"/>
    <n v="90"/>
    <n v="3.75"/>
    <x v="1"/>
    <x v="5"/>
    <x v="1"/>
    <s v="130/85"/>
    <n v="70"/>
    <n v="8000"/>
    <s v="Half Achieved"/>
    <x v="0"/>
  </r>
  <r>
    <x v="213"/>
    <x v="0"/>
    <x v="16"/>
    <x v="2"/>
    <x v="5"/>
    <n v="7.8"/>
    <s v="Good"/>
    <n v="8"/>
    <x v="0"/>
    <n v="90"/>
    <n v="3.75"/>
    <x v="1"/>
    <x v="5"/>
    <x v="1"/>
    <s v="130/85"/>
    <n v="70"/>
    <n v="8000"/>
    <s v="Half Achieved"/>
    <x v="0"/>
  </r>
  <r>
    <x v="214"/>
    <x v="0"/>
    <x v="16"/>
    <x v="2"/>
    <x v="5"/>
    <n v="7.8"/>
    <s v="Good"/>
    <n v="8"/>
    <x v="0"/>
    <n v="90"/>
    <n v="3.75"/>
    <x v="1"/>
    <x v="5"/>
    <x v="1"/>
    <s v="130/85"/>
    <n v="70"/>
    <n v="8000"/>
    <s v="Half Achieved"/>
    <x v="0"/>
  </r>
  <r>
    <x v="215"/>
    <x v="0"/>
    <x v="16"/>
    <x v="2"/>
    <x v="5"/>
    <n v="7.8"/>
    <s v="Good"/>
    <n v="8"/>
    <x v="0"/>
    <n v="90"/>
    <n v="3.75"/>
    <x v="1"/>
    <x v="5"/>
    <x v="1"/>
    <s v="130/85"/>
    <n v="70"/>
    <n v="8000"/>
    <s v="Half Achieved"/>
    <x v="0"/>
  </r>
  <r>
    <x v="216"/>
    <x v="0"/>
    <x v="16"/>
    <x v="2"/>
    <x v="5"/>
    <n v="7.8"/>
    <s v="Good"/>
    <n v="8"/>
    <x v="0"/>
    <n v="90"/>
    <n v="3.75"/>
    <x v="1"/>
    <x v="5"/>
    <x v="1"/>
    <s v="130/85"/>
    <n v="70"/>
    <n v="8000"/>
    <s v="Half Achieved"/>
    <x v="0"/>
  </r>
  <r>
    <x v="217"/>
    <x v="0"/>
    <x v="16"/>
    <x v="2"/>
    <x v="5"/>
    <n v="7.8"/>
    <s v="Good"/>
    <n v="8"/>
    <x v="0"/>
    <n v="90"/>
    <n v="3.75"/>
    <x v="1"/>
    <x v="5"/>
    <x v="1"/>
    <s v="130/85"/>
    <n v="70"/>
    <n v="8000"/>
    <s v="Half Achieved"/>
    <x v="0"/>
  </r>
  <r>
    <x v="218"/>
    <x v="0"/>
    <x v="16"/>
    <x v="2"/>
    <x v="5"/>
    <n v="7.8"/>
    <s v="Good"/>
    <n v="8"/>
    <x v="0"/>
    <n v="90"/>
    <n v="3.75"/>
    <x v="1"/>
    <x v="5"/>
    <x v="1"/>
    <s v="130/85"/>
    <n v="70"/>
    <n v="8000"/>
    <s v="Half Achieved"/>
    <x v="1"/>
  </r>
  <r>
    <x v="219"/>
    <x v="0"/>
    <x v="16"/>
    <x v="2"/>
    <x v="9"/>
    <n v="6.5"/>
    <s v="Low"/>
    <n v="6"/>
    <x v="0"/>
    <n v="45"/>
    <n v="1.875"/>
    <x v="0"/>
    <x v="2"/>
    <x v="0"/>
    <s v="130/85"/>
    <n v="72"/>
    <n v="6000"/>
    <s v="Half Achieved"/>
    <x v="1"/>
  </r>
  <r>
    <x v="220"/>
    <x v="1"/>
    <x v="17"/>
    <x v="2"/>
    <x v="3"/>
    <n v="6.6"/>
    <s v="Low"/>
    <n v="7"/>
    <x v="0"/>
    <n v="45"/>
    <n v="1.875"/>
    <x v="0"/>
    <x v="3"/>
    <x v="0"/>
    <s v="135/90"/>
    <n v="65"/>
    <n v="6000"/>
    <s v="Half Achieved"/>
    <x v="2"/>
  </r>
  <r>
    <x v="221"/>
    <x v="0"/>
    <x v="17"/>
    <x v="2"/>
    <x v="9"/>
    <n v="6.4"/>
    <s v="Low"/>
    <n v="6"/>
    <x v="0"/>
    <n v="45"/>
    <n v="1.875"/>
    <x v="0"/>
    <x v="2"/>
    <x v="0"/>
    <s v="130/85"/>
    <n v="72"/>
    <n v="6000"/>
    <s v="Half Achieved"/>
    <x v="2"/>
  </r>
  <r>
    <x v="222"/>
    <x v="0"/>
    <x v="17"/>
    <x v="2"/>
    <x v="9"/>
    <n v="6.3"/>
    <s v="Low"/>
    <n v="6"/>
    <x v="0"/>
    <n v="45"/>
    <n v="1.875"/>
    <x v="0"/>
    <x v="2"/>
    <x v="0"/>
    <s v="130/85"/>
    <n v="72"/>
    <n v="6000"/>
    <s v="Half Achieved"/>
    <x v="2"/>
  </r>
  <r>
    <x v="223"/>
    <x v="0"/>
    <x v="17"/>
    <x v="2"/>
    <x v="9"/>
    <n v="6.4"/>
    <s v="Low"/>
    <n v="6"/>
    <x v="0"/>
    <n v="45"/>
    <n v="1.875"/>
    <x v="0"/>
    <x v="2"/>
    <x v="0"/>
    <s v="130/85"/>
    <n v="72"/>
    <n v="6000"/>
    <s v="Half Achieved"/>
    <x v="2"/>
  </r>
  <r>
    <x v="224"/>
    <x v="1"/>
    <x v="17"/>
    <x v="2"/>
    <x v="3"/>
    <n v="6.6"/>
    <s v="Low"/>
    <n v="7"/>
    <x v="0"/>
    <n v="45"/>
    <n v="1.875"/>
    <x v="0"/>
    <x v="3"/>
    <x v="0"/>
    <s v="135/90"/>
    <n v="65"/>
    <n v="6000"/>
    <s v="Half Achieved"/>
    <x v="2"/>
  </r>
  <r>
    <x v="225"/>
    <x v="0"/>
    <x v="17"/>
    <x v="2"/>
    <x v="9"/>
    <n v="6.3"/>
    <s v="Low"/>
    <n v="6"/>
    <x v="0"/>
    <n v="45"/>
    <n v="1.875"/>
    <x v="0"/>
    <x v="2"/>
    <x v="0"/>
    <s v="130/85"/>
    <n v="72"/>
    <n v="6000"/>
    <s v="Half Achieved"/>
    <x v="2"/>
  </r>
  <r>
    <x v="226"/>
    <x v="1"/>
    <x v="17"/>
    <x v="2"/>
    <x v="3"/>
    <n v="6.6"/>
    <s v="Low"/>
    <n v="7"/>
    <x v="0"/>
    <n v="45"/>
    <n v="1.875"/>
    <x v="0"/>
    <x v="3"/>
    <x v="0"/>
    <s v="135/90"/>
    <n v="65"/>
    <n v="6000"/>
    <s v="Half Achieved"/>
    <x v="2"/>
  </r>
  <r>
    <x v="227"/>
    <x v="0"/>
    <x v="17"/>
    <x v="2"/>
    <x v="9"/>
    <n v="6.3"/>
    <s v="Low"/>
    <n v="6"/>
    <x v="0"/>
    <n v="45"/>
    <n v="1.875"/>
    <x v="0"/>
    <x v="2"/>
    <x v="0"/>
    <s v="130/85"/>
    <n v="72"/>
    <n v="6000"/>
    <s v="Half Achieved"/>
    <x v="2"/>
  </r>
  <r>
    <x v="228"/>
    <x v="1"/>
    <x v="17"/>
    <x v="2"/>
    <x v="3"/>
    <n v="6.6"/>
    <s v="Low"/>
    <n v="7"/>
    <x v="0"/>
    <n v="45"/>
    <n v="1.875"/>
    <x v="0"/>
    <x v="3"/>
    <x v="0"/>
    <s v="135/90"/>
    <n v="65"/>
    <n v="6000"/>
    <s v="Half Achieved"/>
    <x v="2"/>
  </r>
  <r>
    <x v="229"/>
    <x v="0"/>
    <x v="17"/>
    <x v="2"/>
    <x v="9"/>
    <n v="6.3"/>
    <s v="Low"/>
    <n v="6"/>
    <x v="0"/>
    <n v="45"/>
    <n v="1.875"/>
    <x v="0"/>
    <x v="2"/>
    <x v="0"/>
    <s v="130/85"/>
    <n v="72"/>
    <n v="6000"/>
    <s v="Half Achieved"/>
    <x v="2"/>
  </r>
  <r>
    <x v="230"/>
    <x v="1"/>
    <x v="17"/>
    <x v="2"/>
    <x v="3"/>
    <n v="6.6"/>
    <s v="Low"/>
    <n v="7"/>
    <x v="0"/>
    <n v="45"/>
    <n v="1.875"/>
    <x v="0"/>
    <x v="3"/>
    <x v="0"/>
    <s v="135/90"/>
    <n v="65"/>
    <n v="6000"/>
    <s v="Half Achieved"/>
    <x v="2"/>
  </r>
  <r>
    <x v="231"/>
    <x v="0"/>
    <x v="17"/>
    <x v="2"/>
    <x v="9"/>
    <n v="6.3"/>
    <s v="Low"/>
    <n v="6"/>
    <x v="0"/>
    <n v="45"/>
    <n v="1.875"/>
    <x v="0"/>
    <x v="2"/>
    <x v="0"/>
    <s v="130/85"/>
    <n v="72"/>
    <n v="6000"/>
    <s v="Half Achieved"/>
    <x v="2"/>
  </r>
  <r>
    <x v="232"/>
    <x v="1"/>
    <x v="17"/>
    <x v="2"/>
    <x v="3"/>
    <n v="6.6"/>
    <s v="Low"/>
    <n v="7"/>
    <x v="0"/>
    <n v="45"/>
    <n v="1.875"/>
    <x v="0"/>
    <x v="3"/>
    <x v="0"/>
    <s v="135/90"/>
    <n v="65"/>
    <n v="6000"/>
    <s v="Half Achieved"/>
    <x v="2"/>
  </r>
  <r>
    <x v="233"/>
    <x v="0"/>
    <x v="17"/>
    <x v="2"/>
    <x v="9"/>
    <n v="6.3"/>
    <s v="Low"/>
    <n v="6"/>
    <x v="0"/>
    <n v="45"/>
    <n v="1.875"/>
    <x v="0"/>
    <x v="2"/>
    <x v="0"/>
    <s v="130/85"/>
    <n v="72"/>
    <n v="6000"/>
    <s v="Half Achieved"/>
    <x v="2"/>
  </r>
  <r>
    <x v="234"/>
    <x v="1"/>
    <x v="17"/>
    <x v="2"/>
    <x v="3"/>
    <n v="6.6"/>
    <s v="Low"/>
    <n v="7"/>
    <x v="0"/>
    <n v="45"/>
    <n v="1.875"/>
    <x v="0"/>
    <x v="3"/>
    <x v="0"/>
    <s v="135/90"/>
    <n v="65"/>
    <n v="6000"/>
    <s v="Half Achieved"/>
    <x v="2"/>
  </r>
  <r>
    <x v="235"/>
    <x v="0"/>
    <x v="17"/>
    <x v="2"/>
    <x v="9"/>
    <n v="6.3"/>
    <s v="Low"/>
    <n v="6"/>
    <x v="0"/>
    <n v="45"/>
    <n v="1.875"/>
    <x v="0"/>
    <x v="2"/>
    <x v="0"/>
    <s v="130/85"/>
    <n v="72"/>
    <n v="6000"/>
    <s v="Half Achieved"/>
    <x v="2"/>
  </r>
  <r>
    <x v="236"/>
    <x v="0"/>
    <x v="17"/>
    <x v="2"/>
    <x v="9"/>
    <n v="6.4"/>
    <s v="Low"/>
    <n v="6"/>
    <x v="0"/>
    <n v="45"/>
    <n v="1.875"/>
    <x v="0"/>
    <x v="2"/>
    <x v="0"/>
    <s v="130/85"/>
    <n v="72"/>
    <n v="6000"/>
    <s v="Half Achieved"/>
    <x v="2"/>
  </r>
  <r>
    <x v="237"/>
    <x v="1"/>
    <x v="17"/>
    <x v="2"/>
    <x v="3"/>
    <n v="6.5"/>
    <s v="Low"/>
    <n v="7"/>
    <x v="0"/>
    <n v="45"/>
    <n v="1.875"/>
    <x v="0"/>
    <x v="3"/>
    <x v="0"/>
    <s v="135/90"/>
    <n v="65"/>
    <n v="6000"/>
    <s v="Half Achieved"/>
    <x v="2"/>
  </r>
  <r>
    <x v="238"/>
    <x v="0"/>
    <x v="17"/>
    <x v="2"/>
    <x v="9"/>
    <n v="6.3"/>
    <s v="Low"/>
    <n v="6"/>
    <x v="0"/>
    <n v="45"/>
    <n v="1.875"/>
    <x v="0"/>
    <x v="2"/>
    <x v="0"/>
    <s v="130/85"/>
    <n v="72"/>
    <n v="6000"/>
    <s v="Half Achieved"/>
    <x v="2"/>
  </r>
  <r>
    <x v="239"/>
    <x v="0"/>
    <x v="17"/>
    <x v="2"/>
    <x v="9"/>
    <n v="6.4"/>
    <s v="Low"/>
    <n v="6"/>
    <x v="0"/>
    <n v="45"/>
    <n v="1.875"/>
    <x v="0"/>
    <x v="2"/>
    <x v="0"/>
    <s v="130/85"/>
    <n v="72"/>
    <n v="6000"/>
    <s v="Half Achieved"/>
    <x v="2"/>
  </r>
  <r>
    <x v="240"/>
    <x v="1"/>
    <x v="17"/>
    <x v="2"/>
    <x v="3"/>
    <n v="6.5"/>
    <s v="Low"/>
    <n v="7"/>
    <x v="0"/>
    <n v="45"/>
    <n v="1.875"/>
    <x v="0"/>
    <x v="3"/>
    <x v="0"/>
    <s v="135/90"/>
    <n v="65"/>
    <n v="6000"/>
    <s v="Half Achieved"/>
    <x v="2"/>
  </r>
  <r>
    <x v="241"/>
    <x v="0"/>
    <x v="17"/>
    <x v="2"/>
    <x v="9"/>
    <n v="6.3"/>
    <s v="Low"/>
    <n v="6"/>
    <x v="0"/>
    <n v="45"/>
    <n v="1.875"/>
    <x v="0"/>
    <x v="2"/>
    <x v="0"/>
    <s v="130/85"/>
    <n v="72"/>
    <n v="6000"/>
    <s v="Half Achieved"/>
    <x v="2"/>
  </r>
  <r>
    <x v="242"/>
    <x v="0"/>
    <x v="17"/>
    <x v="2"/>
    <x v="9"/>
    <n v="6.4"/>
    <s v="Low"/>
    <n v="6"/>
    <x v="0"/>
    <n v="45"/>
    <n v="1.875"/>
    <x v="0"/>
    <x v="2"/>
    <x v="0"/>
    <s v="130/85"/>
    <n v="72"/>
    <n v="6000"/>
    <s v="Half Achieved"/>
    <x v="2"/>
  </r>
  <r>
    <x v="243"/>
    <x v="1"/>
    <x v="17"/>
    <x v="2"/>
    <x v="3"/>
    <n v="6.5"/>
    <s v="Low"/>
    <n v="7"/>
    <x v="0"/>
    <n v="45"/>
    <n v="1.875"/>
    <x v="0"/>
    <x v="3"/>
    <x v="0"/>
    <s v="135/90"/>
    <n v="65"/>
    <n v="6000"/>
    <s v="Half Achieved"/>
    <x v="2"/>
  </r>
  <r>
    <x v="244"/>
    <x v="0"/>
    <x v="17"/>
    <x v="2"/>
    <x v="9"/>
    <n v="6.3"/>
    <s v="Low"/>
    <n v="6"/>
    <x v="0"/>
    <n v="45"/>
    <n v="1.875"/>
    <x v="0"/>
    <x v="2"/>
    <x v="0"/>
    <s v="130/85"/>
    <n v="72"/>
    <n v="6000"/>
    <s v="Half Achieved"/>
    <x v="2"/>
  </r>
  <r>
    <x v="245"/>
    <x v="1"/>
    <x v="17"/>
    <x v="2"/>
    <x v="3"/>
    <n v="6.5"/>
    <s v="Low"/>
    <n v="7"/>
    <x v="0"/>
    <n v="45"/>
    <n v="1.875"/>
    <x v="0"/>
    <x v="3"/>
    <x v="0"/>
    <s v="135/90"/>
    <n v="65"/>
    <n v="6000"/>
    <s v="Half Achieved"/>
    <x v="2"/>
  </r>
  <r>
    <x v="246"/>
    <x v="0"/>
    <x v="17"/>
    <x v="2"/>
    <x v="9"/>
    <n v="6.3"/>
    <s v="Low"/>
    <n v="6"/>
    <x v="0"/>
    <n v="45"/>
    <n v="1.875"/>
    <x v="0"/>
    <x v="2"/>
    <x v="0"/>
    <s v="130/85"/>
    <n v="72"/>
    <n v="6000"/>
    <s v="Half Achieved"/>
    <x v="2"/>
  </r>
  <r>
    <x v="247"/>
    <x v="0"/>
    <x v="17"/>
    <x v="2"/>
    <x v="5"/>
    <n v="6.8"/>
    <s v="Low"/>
    <n v="7"/>
    <x v="0"/>
    <n v="45"/>
    <n v="1.875"/>
    <x v="0"/>
    <x v="2"/>
    <x v="0"/>
    <s v="130/85"/>
    <n v="78"/>
    <n v="5000"/>
    <s v="Half Achieved"/>
    <x v="2"/>
  </r>
  <r>
    <x v="248"/>
    <x v="0"/>
    <x v="17"/>
    <x v="2"/>
    <x v="9"/>
    <n v="6.4"/>
    <s v="Low"/>
    <n v="6"/>
    <x v="0"/>
    <n v="45"/>
    <n v="1.875"/>
    <x v="0"/>
    <x v="2"/>
    <x v="0"/>
    <s v="130/85"/>
    <n v="72"/>
    <n v="6000"/>
    <s v="Half Achieved"/>
    <x v="0"/>
  </r>
  <r>
    <x v="249"/>
    <x v="0"/>
    <x v="17"/>
    <x v="2"/>
    <x v="9"/>
    <n v="6.5"/>
    <s v="Low"/>
    <n v="6"/>
    <x v="0"/>
    <n v="45"/>
    <n v="1.875"/>
    <x v="0"/>
    <x v="2"/>
    <x v="0"/>
    <s v="130/85"/>
    <n v="72"/>
    <n v="6000"/>
    <s v="Half Achieved"/>
    <x v="0"/>
  </r>
  <r>
    <x v="250"/>
    <x v="1"/>
    <x v="18"/>
    <x v="2"/>
    <x v="3"/>
    <n v="6.8"/>
    <s v="Low"/>
    <n v="7"/>
    <x v="0"/>
    <n v="30"/>
    <n v="1.25"/>
    <x v="2"/>
    <x v="0"/>
    <x v="0"/>
    <s v="135/90"/>
    <n v="65"/>
    <n v="6000"/>
    <s v="Half Achieved"/>
    <x v="2"/>
  </r>
  <r>
    <x v="251"/>
    <x v="1"/>
    <x v="18"/>
    <x v="2"/>
    <x v="3"/>
    <n v="6.8"/>
    <s v="Low"/>
    <n v="7"/>
    <x v="0"/>
    <n v="30"/>
    <n v="1.25"/>
    <x v="2"/>
    <x v="0"/>
    <x v="0"/>
    <s v="135/90"/>
    <n v="65"/>
    <n v="6000"/>
    <s v="Half Achieved"/>
    <x v="2"/>
  </r>
  <r>
    <x v="252"/>
    <x v="1"/>
    <x v="18"/>
    <x v="2"/>
    <x v="3"/>
    <n v="6.5"/>
    <s v="Low"/>
    <n v="7"/>
    <x v="0"/>
    <n v="45"/>
    <n v="1.875"/>
    <x v="0"/>
    <x v="3"/>
    <x v="0"/>
    <s v="135/90"/>
    <n v="65"/>
    <n v="6000"/>
    <s v="Half Achieved"/>
    <x v="2"/>
  </r>
  <r>
    <x v="253"/>
    <x v="1"/>
    <x v="18"/>
    <x v="2"/>
    <x v="3"/>
    <n v="6.5"/>
    <s v="Low"/>
    <n v="7"/>
    <x v="0"/>
    <n v="45"/>
    <n v="1.875"/>
    <x v="0"/>
    <x v="3"/>
    <x v="0"/>
    <s v="135/90"/>
    <n v="65"/>
    <n v="6000"/>
    <s v="Half Achieved"/>
    <x v="2"/>
  </r>
  <r>
    <x v="254"/>
    <x v="1"/>
    <x v="18"/>
    <x v="2"/>
    <x v="3"/>
    <n v="6.5"/>
    <s v="Low"/>
    <n v="7"/>
    <x v="0"/>
    <n v="45"/>
    <n v="1.875"/>
    <x v="0"/>
    <x v="3"/>
    <x v="0"/>
    <s v="135/90"/>
    <n v="65"/>
    <n v="6000"/>
    <s v="Half Achieved"/>
    <x v="2"/>
  </r>
  <r>
    <x v="255"/>
    <x v="1"/>
    <x v="18"/>
    <x v="2"/>
    <x v="3"/>
    <n v="6.5"/>
    <s v="Low"/>
    <n v="7"/>
    <x v="0"/>
    <n v="45"/>
    <n v="1.875"/>
    <x v="0"/>
    <x v="3"/>
    <x v="0"/>
    <s v="135/90"/>
    <n v="65"/>
    <n v="6000"/>
    <s v="Half Achieved"/>
    <x v="2"/>
  </r>
  <r>
    <x v="256"/>
    <x v="1"/>
    <x v="18"/>
    <x v="2"/>
    <x v="3"/>
    <n v="6.6"/>
    <s v="Low"/>
    <n v="7"/>
    <x v="0"/>
    <n v="45"/>
    <n v="1.875"/>
    <x v="0"/>
    <x v="3"/>
    <x v="0"/>
    <s v="135/90"/>
    <n v="65"/>
    <n v="6000"/>
    <s v="Half Achieved"/>
    <x v="2"/>
  </r>
  <r>
    <x v="257"/>
    <x v="1"/>
    <x v="18"/>
    <x v="2"/>
    <x v="3"/>
    <n v="6.6"/>
    <s v="Low"/>
    <n v="7"/>
    <x v="0"/>
    <n v="45"/>
    <n v="1.875"/>
    <x v="0"/>
    <x v="3"/>
    <x v="0"/>
    <s v="135/90"/>
    <n v="65"/>
    <n v="6000"/>
    <s v="Half Achieved"/>
    <x v="2"/>
  </r>
  <r>
    <x v="258"/>
    <x v="1"/>
    <x v="18"/>
    <x v="2"/>
    <x v="3"/>
    <n v="6.6"/>
    <s v="Low"/>
    <n v="7"/>
    <x v="0"/>
    <n v="45"/>
    <n v="1.875"/>
    <x v="0"/>
    <x v="3"/>
    <x v="0"/>
    <s v="135/90"/>
    <n v="65"/>
    <n v="6000"/>
    <s v="Half Achieved"/>
    <x v="2"/>
  </r>
  <r>
    <x v="259"/>
    <x v="1"/>
    <x v="18"/>
    <x v="2"/>
    <x v="3"/>
    <n v="6.6"/>
    <s v="Low"/>
    <n v="7"/>
    <x v="0"/>
    <n v="45"/>
    <n v="1.875"/>
    <x v="0"/>
    <x v="3"/>
    <x v="0"/>
    <s v="135/90"/>
    <n v="65"/>
    <n v="6000"/>
    <s v="Half Achieved"/>
    <x v="2"/>
  </r>
  <r>
    <x v="260"/>
    <x v="1"/>
    <x v="18"/>
    <x v="2"/>
    <x v="3"/>
    <n v="6.6"/>
    <s v="Low"/>
    <n v="7"/>
    <x v="0"/>
    <n v="45"/>
    <n v="1.875"/>
    <x v="0"/>
    <x v="3"/>
    <x v="0"/>
    <s v="135/90"/>
    <n v="65"/>
    <n v="6000"/>
    <s v="Half Achieved"/>
    <x v="2"/>
  </r>
  <r>
    <x v="261"/>
    <x v="1"/>
    <x v="18"/>
    <x v="2"/>
    <x v="3"/>
    <n v="6.6"/>
    <s v="Low"/>
    <n v="7"/>
    <x v="0"/>
    <n v="45"/>
    <n v="1.875"/>
    <x v="0"/>
    <x v="3"/>
    <x v="0"/>
    <s v="135/90"/>
    <n v="65"/>
    <n v="6000"/>
    <s v="Half Achieved"/>
    <x v="0"/>
  </r>
  <r>
    <x v="262"/>
    <x v="1"/>
    <x v="18"/>
    <x v="2"/>
    <x v="3"/>
    <n v="6.6"/>
    <s v="Low"/>
    <n v="7"/>
    <x v="0"/>
    <n v="45"/>
    <n v="1.875"/>
    <x v="0"/>
    <x v="3"/>
    <x v="0"/>
    <s v="135/90"/>
    <n v="65"/>
    <n v="6000"/>
    <s v="Half Achieved"/>
    <x v="0"/>
  </r>
  <r>
    <x v="263"/>
    <x v="1"/>
    <x v="18"/>
    <x v="2"/>
    <x v="10"/>
    <n v="6.9"/>
    <s v="Low"/>
    <n v="7"/>
    <x v="0"/>
    <n v="55"/>
    <n v="2.2916666666666665"/>
    <x v="1"/>
    <x v="5"/>
    <x v="0"/>
    <s v="125/82"/>
    <n v="75"/>
    <n v="5500"/>
    <s v="Half Achieved"/>
    <x v="0"/>
  </r>
  <r>
    <x v="264"/>
    <x v="0"/>
    <x v="19"/>
    <x v="2"/>
    <x v="1"/>
    <n v="7.3"/>
    <s v="Good"/>
    <n v="7"/>
    <x v="0"/>
    <n v="65"/>
    <n v="2.7083333333333335"/>
    <x v="1"/>
    <x v="5"/>
    <x v="2"/>
    <s v="142/92"/>
    <n v="83"/>
    <n v="3500"/>
    <s v="Partially Achieved"/>
    <x v="2"/>
  </r>
  <r>
    <x v="265"/>
    <x v="1"/>
    <x v="19"/>
    <x v="2"/>
    <x v="4"/>
    <n v="5.9"/>
    <s v="Very low"/>
    <n v="6"/>
    <x v="0"/>
    <n v="90"/>
    <n v="3.75"/>
    <x v="1"/>
    <x v="1"/>
    <x v="0"/>
    <s v="140/95"/>
    <n v="75"/>
    <n v="10000"/>
    <s v="Steps Achieved"/>
    <x v="1"/>
  </r>
  <r>
    <x v="266"/>
    <x v="0"/>
    <x v="19"/>
    <x v="2"/>
    <x v="1"/>
    <n v="7.3"/>
    <s v="Good"/>
    <n v="7"/>
    <x v="0"/>
    <n v="65"/>
    <n v="2.7083333333333335"/>
    <x v="1"/>
    <x v="5"/>
    <x v="2"/>
    <s v="142/92"/>
    <n v="83"/>
    <n v="3500"/>
    <s v="Partially Achieved"/>
    <x v="2"/>
  </r>
  <r>
    <x v="267"/>
    <x v="1"/>
    <x v="20"/>
    <x v="2"/>
    <x v="4"/>
    <n v="6.2"/>
    <s v="Low"/>
    <n v="6"/>
    <x v="0"/>
    <n v="90"/>
    <n v="3.75"/>
    <x v="1"/>
    <x v="1"/>
    <x v="0"/>
    <s v="140/95"/>
    <n v="75"/>
    <n v="10000"/>
    <s v="Steps Achieved"/>
    <x v="0"/>
  </r>
  <r>
    <x v="268"/>
    <x v="1"/>
    <x v="20"/>
    <x v="2"/>
    <x v="4"/>
    <n v="6"/>
    <s v="Low"/>
    <n v="6"/>
    <x v="0"/>
    <n v="90"/>
    <n v="3.75"/>
    <x v="1"/>
    <x v="1"/>
    <x v="0"/>
    <s v="140/95"/>
    <n v="75"/>
    <n v="10000"/>
    <s v="Steps Achieved"/>
    <x v="1"/>
  </r>
  <r>
    <x v="269"/>
    <x v="1"/>
    <x v="20"/>
    <x v="2"/>
    <x v="4"/>
    <n v="6.1"/>
    <s v="Low"/>
    <n v="6"/>
    <x v="0"/>
    <n v="90"/>
    <n v="3.75"/>
    <x v="1"/>
    <x v="1"/>
    <x v="0"/>
    <s v="140/95"/>
    <n v="75"/>
    <n v="10000"/>
    <s v="Steps Achieved"/>
    <x v="1"/>
  </r>
  <r>
    <x v="270"/>
    <x v="1"/>
    <x v="20"/>
    <x v="2"/>
    <x v="4"/>
    <n v="6.1"/>
    <s v="Low"/>
    <n v="6"/>
    <x v="0"/>
    <n v="90"/>
    <n v="3.75"/>
    <x v="1"/>
    <x v="1"/>
    <x v="0"/>
    <s v="140/95"/>
    <n v="75"/>
    <n v="10000"/>
    <s v="Steps Achieved"/>
    <x v="1"/>
  </r>
  <r>
    <x v="271"/>
    <x v="1"/>
    <x v="20"/>
    <x v="2"/>
    <x v="4"/>
    <n v="6.1"/>
    <s v="Low"/>
    <n v="6"/>
    <x v="0"/>
    <n v="90"/>
    <n v="3.75"/>
    <x v="1"/>
    <x v="1"/>
    <x v="0"/>
    <s v="140/95"/>
    <n v="75"/>
    <n v="10000"/>
    <s v="Steps Achieved"/>
    <x v="1"/>
  </r>
  <r>
    <x v="272"/>
    <x v="1"/>
    <x v="20"/>
    <x v="2"/>
    <x v="4"/>
    <n v="6.1"/>
    <s v="Low"/>
    <n v="6"/>
    <x v="0"/>
    <n v="90"/>
    <n v="3.75"/>
    <x v="1"/>
    <x v="1"/>
    <x v="0"/>
    <s v="140/95"/>
    <n v="75"/>
    <n v="10000"/>
    <s v="Steps Achieved"/>
    <x v="1"/>
  </r>
  <r>
    <x v="273"/>
    <x v="1"/>
    <x v="20"/>
    <x v="2"/>
    <x v="4"/>
    <n v="6.2"/>
    <s v="Low"/>
    <n v="6"/>
    <x v="0"/>
    <n v="90"/>
    <n v="3.75"/>
    <x v="1"/>
    <x v="1"/>
    <x v="0"/>
    <s v="140/95"/>
    <n v="75"/>
    <n v="10000"/>
    <s v="Steps Achieved"/>
    <x v="1"/>
  </r>
  <r>
    <x v="274"/>
    <x v="1"/>
    <x v="20"/>
    <x v="2"/>
    <x v="4"/>
    <n v="6.2"/>
    <s v="Low"/>
    <n v="6"/>
    <x v="0"/>
    <n v="90"/>
    <n v="3.75"/>
    <x v="1"/>
    <x v="1"/>
    <x v="0"/>
    <s v="140/95"/>
    <n v="75"/>
    <n v="10000"/>
    <s v="Steps Achieved"/>
    <x v="1"/>
  </r>
  <r>
    <x v="275"/>
    <x v="1"/>
    <x v="20"/>
    <x v="2"/>
    <x v="4"/>
    <n v="6.2"/>
    <s v="Low"/>
    <n v="6"/>
    <x v="0"/>
    <n v="90"/>
    <n v="3.75"/>
    <x v="1"/>
    <x v="1"/>
    <x v="0"/>
    <s v="140/95"/>
    <n v="75"/>
    <n v="10000"/>
    <s v="Steps Achieved"/>
    <x v="1"/>
  </r>
  <r>
    <x v="276"/>
    <x v="0"/>
    <x v="20"/>
    <x v="2"/>
    <x v="1"/>
    <n v="8.1"/>
    <s v="Good"/>
    <n v="9"/>
    <x v="0"/>
    <n v="85"/>
    <n v="3.5416666666666665"/>
    <x v="1"/>
    <x v="4"/>
    <x v="2"/>
    <s v="139/91"/>
    <n v="86"/>
    <n v="3700"/>
    <s v="Partially Achieved"/>
    <x v="1"/>
  </r>
  <r>
    <x v="277"/>
    <x v="0"/>
    <x v="20"/>
    <x v="2"/>
    <x v="1"/>
    <n v="8.1"/>
    <s v="Good"/>
    <n v="9"/>
    <x v="0"/>
    <n v="85"/>
    <n v="3.5416666666666665"/>
    <x v="1"/>
    <x v="4"/>
    <x v="2"/>
    <s v="139/91"/>
    <n v="86"/>
    <n v="3700"/>
    <s v="Partially Achieved"/>
    <x v="1"/>
  </r>
  <r>
    <x v="278"/>
    <x v="1"/>
    <x v="21"/>
    <x v="3"/>
    <x v="4"/>
    <n v="6.1"/>
    <s v="Low"/>
    <n v="6"/>
    <x v="0"/>
    <n v="90"/>
    <n v="3.75"/>
    <x v="1"/>
    <x v="1"/>
    <x v="0"/>
    <s v="140/95"/>
    <n v="75"/>
    <n v="10000"/>
    <s v="Steps Achieved"/>
    <x v="2"/>
  </r>
  <r>
    <x v="279"/>
    <x v="1"/>
    <x v="21"/>
    <x v="3"/>
    <x v="5"/>
    <n v="8.3000000000000007"/>
    <s v="Good"/>
    <n v="9"/>
    <x v="0"/>
    <n v="30"/>
    <n v="1.25"/>
    <x v="2"/>
    <x v="4"/>
    <x v="1"/>
    <s v="125/80"/>
    <n v="65"/>
    <n v="5000"/>
    <s v="Half Achieved"/>
    <x v="0"/>
  </r>
  <r>
    <x v="280"/>
    <x v="1"/>
    <x v="21"/>
    <x v="3"/>
    <x v="4"/>
    <n v="6"/>
    <s v="Low"/>
    <n v="6"/>
    <x v="0"/>
    <n v="90"/>
    <n v="3.75"/>
    <x v="1"/>
    <x v="1"/>
    <x v="0"/>
    <s v="140/95"/>
    <n v="75"/>
    <n v="10000"/>
    <s v="Steps Achieved"/>
    <x v="0"/>
  </r>
  <r>
    <x v="281"/>
    <x v="1"/>
    <x v="21"/>
    <x v="3"/>
    <x v="4"/>
    <n v="6.1"/>
    <s v="Low"/>
    <n v="6"/>
    <x v="0"/>
    <n v="90"/>
    <n v="3.75"/>
    <x v="1"/>
    <x v="1"/>
    <x v="0"/>
    <s v="140/95"/>
    <n v="75"/>
    <n v="10000"/>
    <s v="Steps Achieved"/>
    <x v="1"/>
  </r>
  <r>
    <x v="282"/>
    <x v="1"/>
    <x v="21"/>
    <x v="3"/>
    <x v="4"/>
    <n v="6"/>
    <s v="Low"/>
    <n v="6"/>
    <x v="0"/>
    <n v="90"/>
    <n v="3.75"/>
    <x v="1"/>
    <x v="1"/>
    <x v="0"/>
    <s v="140/95"/>
    <n v="75"/>
    <n v="10000"/>
    <s v="Steps Achieved"/>
    <x v="1"/>
  </r>
  <r>
    <x v="283"/>
    <x v="1"/>
    <x v="21"/>
    <x v="3"/>
    <x v="4"/>
    <n v="6"/>
    <s v="Low"/>
    <n v="6"/>
    <x v="0"/>
    <n v="90"/>
    <n v="3.75"/>
    <x v="1"/>
    <x v="1"/>
    <x v="0"/>
    <s v="140/95"/>
    <n v="75"/>
    <n v="10000"/>
    <s v="Steps Achieved"/>
    <x v="1"/>
  </r>
  <r>
    <x v="284"/>
    <x v="1"/>
    <x v="21"/>
    <x v="3"/>
    <x v="4"/>
    <n v="6"/>
    <s v="Low"/>
    <n v="6"/>
    <x v="0"/>
    <n v="90"/>
    <n v="3.75"/>
    <x v="1"/>
    <x v="1"/>
    <x v="0"/>
    <s v="140/95"/>
    <n v="75"/>
    <n v="10000"/>
    <s v="Steps Achieved"/>
    <x v="1"/>
  </r>
  <r>
    <x v="285"/>
    <x v="1"/>
    <x v="21"/>
    <x v="3"/>
    <x v="4"/>
    <n v="6"/>
    <s v="Low"/>
    <n v="6"/>
    <x v="0"/>
    <n v="90"/>
    <n v="3.75"/>
    <x v="1"/>
    <x v="1"/>
    <x v="0"/>
    <s v="140/95"/>
    <n v="75"/>
    <n v="10000"/>
    <s v="Steps Achieved"/>
    <x v="1"/>
  </r>
  <r>
    <x v="286"/>
    <x v="1"/>
    <x v="21"/>
    <x v="3"/>
    <x v="4"/>
    <n v="6"/>
    <s v="Low"/>
    <n v="6"/>
    <x v="0"/>
    <n v="90"/>
    <n v="3.75"/>
    <x v="1"/>
    <x v="1"/>
    <x v="0"/>
    <s v="140/95"/>
    <n v="75"/>
    <n v="10000"/>
    <s v="Steps Achieved"/>
    <x v="1"/>
  </r>
  <r>
    <x v="287"/>
    <x v="1"/>
    <x v="21"/>
    <x v="3"/>
    <x v="4"/>
    <n v="6"/>
    <s v="Low"/>
    <n v="6"/>
    <x v="0"/>
    <n v="90"/>
    <n v="3.75"/>
    <x v="1"/>
    <x v="1"/>
    <x v="0"/>
    <s v="140/95"/>
    <n v="75"/>
    <n v="10000"/>
    <s v="Steps Achieved"/>
    <x v="1"/>
  </r>
  <r>
    <x v="288"/>
    <x v="1"/>
    <x v="21"/>
    <x v="3"/>
    <x v="4"/>
    <n v="6"/>
    <s v="Low"/>
    <n v="6"/>
    <x v="0"/>
    <n v="90"/>
    <n v="3.75"/>
    <x v="1"/>
    <x v="1"/>
    <x v="0"/>
    <s v="140/95"/>
    <n v="75"/>
    <n v="10000"/>
    <s v="Steps Achieved"/>
    <x v="1"/>
  </r>
  <r>
    <x v="289"/>
    <x v="1"/>
    <x v="21"/>
    <x v="3"/>
    <x v="4"/>
    <n v="6.1"/>
    <s v="Low"/>
    <n v="6"/>
    <x v="0"/>
    <n v="90"/>
    <n v="3.75"/>
    <x v="1"/>
    <x v="1"/>
    <x v="0"/>
    <s v="140/95"/>
    <n v="75"/>
    <n v="10000"/>
    <s v="Steps Achieved"/>
    <x v="1"/>
  </r>
  <r>
    <x v="290"/>
    <x v="1"/>
    <x v="21"/>
    <x v="3"/>
    <x v="4"/>
    <n v="6"/>
    <s v="Low"/>
    <n v="6"/>
    <x v="0"/>
    <n v="90"/>
    <n v="3.75"/>
    <x v="1"/>
    <x v="1"/>
    <x v="0"/>
    <s v="140/95"/>
    <n v="75"/>
    <n v="10000"/>
    <s v="Steps Achieved"/>
    <x v="1"/>
  </r>
  <r>
    <x v="291"/>
    <x v="1"/>
    <x v="21"/>
    <x v="3"/>
    <x v="4"/>
    <n v="6.1"/>
    <s v="Low"/>
    <n v="6"/>
    <x v="0"/>
    <n v="90"/>
    <n v="3.75"/>
    <x v="1"/>
    <x v="1"/>
    <x v="0"/>
    <s v="140/95"/>
    <n v="75"/>
    <n v="10000"/>
    <s v="Steps Achieved"/>
    <x v="1"/>
  </r>
  <r>
    <x v="292"/>
    <x v="1"/>
    <x v="21"/>
    <x v="3"/>
    <x v="4"/>
    <n v="6.1"/>
    <s v="Low"/>
    <n v="6"/>
    <x v="0"/>
    <n v="90"/>
    <n v="3.75"/>
    <x v="1"/>
    <x v="1"/>
    <x v="0"/>
    <s v="140/95"/>
    <n v="75"/>
    <n v="10000"/>
    <s v="Steps Achieved"/>
    <x v="1"/>
  </r>
  <r>
    <x v="293"/>
    <x v="1"/>
    <x v="21"/>
    <x v="3"/>
    <x v="4"/>
    <n v="6"/>
    <s v="Low"/>
    <n v="6"/>
    <x v="0"/>
    <n v="90"/>
    <n v="3.75"/>
    <x v="1"/>
    <x v="1"/>
    <x v="0"/>
    <s v="140/95"/>
    <n v="75"/>
    <n v="10000"/>
    <s v="Steps Achieved"/>
    <x v="1"/>
  </r>
  <r>
    <x v="294"/>
    <x v="1"/>
    <x v="21"/>
    <x v="3"/>
    <x v="4"/>
    <n v="6.1"/>
    <s v="Low"/>
    <n v="6"/>
    <x v="0"/>
    <n v="90"/>
    <n v="3.75"/>
    <x v="1"/>
    <x v="1"/>
    <x v="0"/>
    <s v="140/95"/>
    <n v="75"/>
    <n v="10000"/>
    <s v="Steps Achieved"/>
    <x v="1"/>
  </r>
  <r>
    <x v="295"/>
    <x v="1"/>
    <x v="21"/>
    <x v="3"/>
    <x v="4"/>
    <n v="6"/>
    <s v="Low"/>
    <n v="6"/>
    <x v="0"/>
    <n v="90"/>
    <n v="3.75"/>
    <x v="1"/>
    <x v="1"/>
    <x v="0"/>
    <s v="140/95"/>
    <n v="75"/>
    <n v="10000"/>
    <s v="Steps Achieved"/>
    <x v="1"/>
  </r>
  <r>
    <x v="296"/>
    <x v="1"/>
    <x v="21"/>
    <x v="3"/>
    <x v="4"/>
    <n v="6.1"/>
    <s v="Low"/>
    <n v="6"/>
    <x v="0"/>
    <n v="90"/>
    <n v="3.75"/>
    <x v="1"/>
    <x v="1"/>
    <x v="0"/>
    <s v="140/95"/>
    <n v="75"/>
    <n v="10000"/>
    <s v="Steps Achieved"/>
    <x v="1"/>
  </r>
  <r>
    <x v="297"/>
    <x v="1"/>
    <x v="21"/>
    <x v="3"/>
    <x v="4"/>
    <n v="6.1"/>
    <s v="Low"/>
    <n v="6"/>
    <x v="0"/>
    <n v="90"/>
    <n v="3.75"/>
    <x v="1"/>
    <x v="1"/>
    <x v="0"/>
    <s v="140/95"/>
    <n v="75"/>
    <n v="10000"/>
    <s v="Steps Achieved"/>
    <x v="1"/>
  </r>
  <r>
    <x v="298"/>
    <x v="1"/>
    <x v="22"/>
    <x v="3"/>
    <x v="5"/>
    <n v="8.5"/>
    <s v="Good"/>
    <n v="9"/>
    <x v="0"/>
    <n v="30"/>
    <n v="1.25"/>
    <x v="2"/>
    <x v="4"/>
    <x v="1"/>
    <s v="125/80"/>
    <n v="65"/>
    <n v="5000"/>
    <s v="Half Achieved"/>
    <x v="0"/>
  </r>
  <r>
    <x v="299"/>
    <x v="1"/>
    <x v="22"/>
    <x v="3"/>
    <x v="5"/>
    <n v="8.5"/>
    <s v="Good"/>
    <n v="9"/>
    <x v="0"/>
    <n v="30"/>
    <n v="1.25"/>
    <x v="2"/>
    <x v="4"/>
    <x v="1"/>
    <s v="125/80"/>
    <n v="65"/>
    <n v="5000"/>
    <s v="Half Achieved"/>
    <x v="0"/>
  </r>
  <r>
    <x v="300"/>
    <x v="1"/>
    <x v="22"/>
    <x v="3"/>
    <x v="5"/>
    <n v="8.5"/>
    <s v="Good"/>
    <n v="9"/>
    <x v="0"/>
    <n v="30"/>
    <n v="1.25"/>
    <x v="2"/>
    <x v="4"/>
    <x v="1"/>
    <s v="125/80"/>
    <n v="65"/>
    <n v="5000"/>
    <s v="Half Achieved"/>
    <x v="0"/>
  </r>
  <r>
    <x v="301"/>
    <x v="1"/>
    <x v="22"/>
    <x v="3"/>
    <x v="5"/>
    <n v="8.5"/>
    <s v="Good"/>
    <n v="9"/>
    <x v="0"/>
    <n v="30"/>
    <n v="1.25"/>
    <x v="2"/>
    <x v="4"/>
    <x v="1"/>
    <s v="125/80"/>
    <n v="65"/>
    <n v="5000"/>
    <s v="Half Achieved"/>
    <x v="0"/>
  </r>
  <r>
    <x v="302"/>
    <x v="1"/>
    <x v="22"/>
    <x v="3"/>
    <x v="4"/>
    <n v="7.1"/>
    <s v="Good"/>
    <n v="7"/>
    <x v="0"/>
    <n v="55"/>
    <n v="2.2916666666666665"/>
    <x v="1"/>
    <x v="0"/>
    <x v="1"/>
    <s v="125/82"/>
    <n v="72"/>
    <n v="6000"/>
    <s v="Half Achieved"/>
    <x v="0"/>
  </r>
  <r>
    <x v="303"/>
    <x v="1"/>
    <x v="22"/>
    <x v="3"/>
    <x v="4"/>
    <n v="6"/>
    <s v="Low"/>
    <n v="6"/>
    <x v="0"/>
    <n v="90"/>
    <n v="3.75"/>
    <x v="1"/>
    <x v="1"/>
    <x v="0"/>
    <s v="140/95"/>
    <n v="75"/>
    <n v="10000"/>
    <s v="Steps Achieved"/>
    <x v="1"/>
  </r>
  <r>
    <x v="304"/>
    <x v="1"/>
    <x v="22"/>
    <x v="3"/>
    <x v="4"/>
    <n v="6.1"/>
    <s v="Low"/>
    <n v="6"/>
    <x v="0"/>
    <n v="90"/>
    <n v="3.75"/>
    <x v="1"/>
    <x v="1"/>
    <x v="0"/>
    <s v="140/95"/>
    <n v="75"/>
    <n v="10000"/>
    <s v="Steps Achieved"/>
    <x v="1"/>
  </r>
  <r>
    <x v="305"/>
    <x v="1"/>
    <x v="22"/>
    <x v="3"/>
    <x v="4"/>
    <n v="6.1"/>
    <s v="Low"/>
    <n v="6"/>
    <x v="0"/>
    <n v="90"/>
    <n v="3.75"/>
    <x v="1"/>
    <x v="1"/>
    <x v="0"/>
    <s v="140/95"/>
    <n v="75"/>
    <n v="10000"/>
    <s v="Steps Achieved"/>
    <x v="1"/>
  </r>
  <r>
    <x v="306"/>
    <x v="1"/>
    <x v="23"/>
    <x v="3"/>
    <x v="6"/>
    <n v="6.5"/>
    <s v="Low"/>
    <n v="7"/>
    <x v="0"/>
    <n v="45"/>
    <n v="1.875"/>
    <x v="0"/>
    <x v="2"/>
    <x v="0"/>
    <s v="130/85"/>
    <n v="72"/>
    <n v="6000"/>
    <s v="Half Achieved"/>
    <x v="2"/>
  </r>
  <r>
    <x v="307"/>
    <x v="1"/>
    <x v="23"/>
    <x v="3"/>
    <x v="6"/>
    <n v="6.5"/>
    <s v="Low"/>
    <n v="7"/>
    <x v="0"/>
    <n v="45"/>
    <n v="1.875"/>
    <x v="0"/>
    <x v="2"/>
    <x v="0"/>
    <s v="130/85"/>
    <n v="72"/>
    <n v="6000"/>
    <s v="Half Achieved"/>
    <x v="2"/>
  </r>
  <r>
    <x v="308"/>
    <x v="1"/>
    <x v="23"/>
    <x v="3"/>
    <x v="6"/>
    <n v="6.6"/>
    <s v="Low"/>
    <n v="7"/>
    <x v="0"/>
    <n v="45"/>
    <n v="1.875"/>
    <x v="0"/>
    <x v="2"/>
    <x v="0"/>
    <s v="130/85"/>
    <n v="72"/>
    <n v="6000"/>
    <s v="Half Achieved"/>
    <x v="2"/>
  </r>
  <r>
    <x v="309"/>
    <x v="1"/>
    <x v="23"/>
    <x v="3"/>
    <x v="6"/>
    <n v="6.6"/>
    <s v="Low"/>
    <n v="7"/>
    <x v="0"/>
    <n v="45"/>
    <n v="1.875"/>
    <x v="0"/>
    <x v="2"/>
    <x v="0"/>
    <s v="130/85"/>
    <n v="72"/>
    <n v="6000"/>
    <s v="Half Achieved"/>
    <x v="2"/>
  </r>
  <r>
    <x v="310"/>
    <x v="1"/>
    <x v="23"/>
    <x v="3"/>
    <x v="6"/>
    <n v="6.6"/>
    <s v="Low"/>
    <n v="7"/>
    <x v="0"/>
    <n v="45"/>
    <n v="1.875"/>
    <x v="0"/>
    <x v="2"/>
    <x v="0"/>
    <s v="130/85"/>
    <n v="72"/>
    <n v="6000"/>
    <s v="Half Achieved"/>
    <x v="2"/>
  </r>
  <r>
    <x v="311"/>
    <x v="1"/>
    <x v="23"/>
    <x v="3"/>
    <x v="6"/>
    <n v="6.6"/>
    <s v="Low"/>
    <n v="7"/>
    <x v="0"/>
    <n v="45"/>
    <n v="1.875"/>
    <x v="0"/>
    <x v="2"/>
    <x v="0"/>
    <s v="130/85"/>
    <n v="72"/>
    <n v="6000"/>
    <s v="Half Achieved"/>
    <x v="2"/>
  </r>
  <r>
    <x v="312"/>
    <x v="1"/>
    <x v="23"/>
    <x v="3"/>
    <x v="5"/>
    <n v="8.4"/>
    <s v="Good"/>
    <n v="9"/>
    <x v="0"/>
    <n v="30"/>
    <n v="1.25"/>
    <x v="2"/>
    <x v="4"/>
    <x v="1"/>
    <s v="125/80"/>
    <n v="65"/>
    <n v="5000"/>
    <s v="Half Achieved"/>
    <x v="0"/>
  </r>
  <r>
    <x v="313"/>
    <x v="1"/>
    <x v="23"/>
    <x v="3"/>
    <x v="5"/>
    <n v="8.4"/>
    <s v="Good"/>
    <n v="9"/>
    <x v="0"/>
    <n v="30"/>
    <n v="1.25"/>
    <x v="2"/>
    <x v="4"/>
    <x v="1"/>
    <s v="125/80"/>
    <n v="65"/>
    <n v="5000"/>
    <s v="Half Achieved"/>
    <x v="0"/>
  </r>
  <r>
    <x v="314"/>
    <x v="1"/>
    <x v="23"/>
    <x v="3"/>
    <x v="5"/>
    <n v="8.4"/>
    <s v="Good"/>
    <n v="9"/>
    <x v="0"/>
    <n v="30"/>
    <n v="1.25"/>
    <x v="2"/>
    <x v="4"/>
    <x v="1"/>
    <s v="125/80"/>
    <n v="65"/>
    <n v="5000"/>
    <s v="Half Achieved"/>
    <x v="0"/>
  </r>
  <r>
    <x v="315"/>
    <x v="1"/>
    <x v="24"/>
    <x v="3"/>
    <x v="5"/>
    <n v="8.3000000000000007"/>
    <s v="Good"/>
    <n v="9"/>
    <x v="0"/>
    <n v="30"/>
    <n v="1.25"/>
    <x v="2"/>
    <x v="4"/>
    <x v="1"/>
    <s v="125/80"/>
    <n v="65"/>
    <n v="5000"/>
    <s v="Half Achieved"/>
    <x v="2"/>
  </r>
  <r>
    <x v="316"/>
    <x v="1"/>
    <x v="24"/>
    <x v="3"/>
    <x v="5"/>
    <n v="8.5"/>
    <s v="Good"/>
    <n v="9"/>
    <x v="0"/>
    <n v="30"/>
    <n v="1.25"/>
    <x v="2"/>
    <x v="4"/>
    <x v="1"/>
    <s v="125/80"/>
    <n v="65"/>
    <n v="5000"/>
    <s v="Half Achieved"/>
    <x v="0"/>
  </r>
  <r>
    <x v="317"/>
    <x v="1"/>
    <x v="24"/>
    <x v="3"/>
    <x v="5"/>
    <n v="8.5"/>
    <s v="Good"/>
    <n v="9"/>
    <x v="0"/>
    <n v="30"/>
    <n v="1.25"/>
    <x v="2"/>
    <x v="4"/>
    <x v="1"/>
    <s v="125/80"/>
    <n v="65"/>
    <n v="5000"/>
    <s v="Half Achieved"/>
    <x v="0"/>
  </r>
  <r>
    <x v="318"/>
    <x v="1"/>
    <x v="24"/>
    <x v="3"/>
    <x v="5"/>
    <n v="8.4"/>
    <s v="Good"/>
    <n v="9"/>
    <x v="0"/>
    <n v="30"/>
    <n v="1.25"/>
    <x v="2"/>
    <x v="4"/>
    <x v="1"/>
    <s v="125/80"/>
    <n v="65"/>
    <n v="5000"/>
    <s v="Half Achieved"/>
    <x v="0"/>
  </r>
  <r>
    <x v="319"/>
    <x v="1"/>
    <x v="24"/>
    <x v="3"/>
    <x v="5"/>
    <n v="8.4"/>
    <s v="Good"/>
    <n v="9"/>
    <x v="0"/>
    <n v="30"/>
    <n v="1.25"/>
    <x v="2"/>
    <x v="4"/>
    <x v="1"/>
    <s v="125/80"/>
    <n v="65"/>
    <n v="5000"/>
    <s v="Half Achieved"/>
    <x v="0"/>
  </r>
  <r>
    <x v="320"/>
    <x v="1"/>
    <x v="24"/>
    <x v="3"/>
    <x v="5"/>
    <n v="8.5"/>
    <s v="Good"/>
    <n v="9"/>
    <x v="0"/>
    <n v="30"/>
    <n v="1.25"/>
    <x v="2"/>
    <x v="4"/>
    <x v="1"/>
    <s v="125/80"/>
    <n v="65"/>
    <n v="5000"/>
    <s v="Half Achieved"/>
    <x v="0"/>
  </r>
  <r>
    <x v="321"/>
    <x v="1"/>
    <x v="24"/>
    <x v="3"/>
    <x v="5"/>
    <n v="8.4"/>
    <s v="Good"/>
    <n v="9"/>
    <x v="0"/>
    <n v="30"/>
    <n v="1.25"/>
    <x v="2"/>
    <x v="4"/>
    <x v="1"/>
    <s v="125/80"/>
    <n v="65"/>
    <n v="5000"/>
    <s v="Half Achieved"/>
    <x v="0"/>
  </r>
  <r>
    <x v="322"/>
    <x v="1"/>
    <x v="24"/>
    <x v="3"/>
    <x v="5"/>
    <n v="8.4"/>
    <s v="Good"/>
    <n v="9"/>
    <x v="0"/>
    <n v="30"/>
    <n v="1.25"/>
    <x v="2"/>
    <x v="4"/>
    <x v="1"/>
    <s v="125/80"/>
    <n v="65"/>
    <n v="5000"/>
    <s v="Half Achieved"/>
    <x v="0"/>
  </r>
  <r>
    <x v="323"/>
    <x v="1"/>
    <x v="24"/>
    <x v="3"/>
    <x v="5"/>
    <n v="8.5"/>
    <s v="Good"/>
    <n v="9"/>
    <x v="0"/>
    <n v="30"/>
    <n v="1.25"/>
    <x v="2"/>
    <x v="4"/>
    <x v="1"/>
    <s v="125/80"/>
    <n v="65"/>
    <n v="5000"/>
    <s v="Half Achieved"/>
    <x v="0"/>
  </r>
  <r>
    <x v="324"/>
    <x v="1"/>
    <x v="24"/>
    <x v="3"/>
    <x v="5"/>
    <n v="8.3000000000000007"/>
    <s v="Good"/>
    <n v="9"/>
    <x v="0"/>
    <n v="30"/>
    <n v="1.25"/>
    <x v="2"/>
    <x v="4"/>
    <x v="1"/>
    <s v="125/80"/>
    <n v="65"/>
    <n v="5000"/>
    <s v="Half Achieved"/>
    <x v="0"/>
  </r>
  <r>
    <x v="325"/>
    <x v="1"/>
    <x v="24"/>
    <x v="3"/>
    <x v="5"/>
    <n v="8.5"/>
    <s v="Good"/>
    <n v="9"/>
    <x v="0"/>
    <n v="30"/>
    <n v="1.25"/>
    <x v="2"/>
    <x v="4"/>
    <x v="1"/>
    <s v="125/80"/>
    <n v="65"/>
    <n v="5000"/>
    <s v="Half Achieved"/>
    <x v="0"/>
  </r>
  <r>
    <x v="326"/>
    <x v="1"/>
    <x v="24"/>
    <x v="3"/>
    <x v="5"/>
    <n v="8.3000000000000007"/>
    <s v="Good"/>
    <n v="9"/>
    <x v="0"/>
    <n v="30"/>
    <n v="1.25"/>
    <x v="2"/>
    <x v="4"/>
    <x v="1"/>
    <s v="125/80"/>
    <n v="65"/>
    <n v="5000"/>
    <s v="Half Achieved"/>
    <x v="0"/>
  </r>
  <r>
    <x v="327"/>
    <x v="1"/>
    <x v="24"/>
    <x v="3"/>
    <x v="5"/>
    <n v="8.5"/>
    <s v="Good"/>
    <n v="9"/>
    <x v="0"/>
    <n v="30"/>
    <n v="1.25"/>
    <x v="2"/>
    <x v="4"/>
    <x v="1"/>
    <s v="125/80"/>
    <n v="65"/>
    <n v="5000"/>
    <s v="Half Achieved"/>
    <x v="0"/>
  </r>
  <r>
    <x v="328"/>
    <x v="1"/>
    <x v="24"/>
    <x v="3"/>
    <x v="5"/>
    <n v="8.3000000000000007"/>
    <s v="Good"/>
    <n v="9"/>
    <x v="0"/>
    <n v="30"/>
    <n v="1.25"/>
    <x v="2"/>
    <x v="4"/>
    <x v="1"/>
    <s v="125/80"/>
    <n v="65"/>
    <n v="5000"/>
    <s v="Half Achieved"/>
    <x v="0"/>
  </r>
  <r>
    <x v="329"/>
    <x v="1"/>
    <x v="24"/>
    <x v="3"/>
    <x v="5"/>
    <n v="8.5"/>
    <s v="Good"/>
    <n v="9"/>
    <x v="0"/>
    <n v="30"/>
    <n v="1.25"/>
    <x v="2"/>
    <x v="4"/>
    <x v="1"/>
    <s v="125/80"/>
    <n v="65"/>
    <n v="5000"/>
    <s v="Half Achieved"/>
    <x v="0"/>
  </r>
  <r>
    <x v="330"/>
    <x v="1"/>
    <x v="24"/>
    <x v="3"/>
    <x v="5"/>
    <n v="8.5"/>
    <s v="Good"/>
    <n v="9"/>
    <x v="0"/>
    <n v="30"/>
    <n v="1.25"/>
    <x v="2"/>
    <x v="4"/>
    <x v="1"/>
    <s v="125/80"/>
    <n v="65"/>
    <n v="5000"/>
    <s v="Half Achieved"/>
    <x v="0"/>
  </r>
  <r>
    <x v="331"/>
    <x v="1"/>
    <x v="24"/>
    <x v="3"/>
    <x v="5"/>
    <n v="8.4"/>
    <s v="Good"/>
    <n v="9"/>
    <x v="0"/>
    <n v="30"/>
    <n v="1.25"/>
    <x v="2"/>
    <x v="4"/>
    <x v="1"/>
    <s v="125/80"/>
    <n v="65"/>
    <n v="5000"/>
    <s v="Half Achieved"/>
    <x v="0"/>
  </r>
  <r>
    <x v="332"/>
    <x v="1"/>
    <x v="25"/>
    <x v="3"/>
    <x v="5"/>
    <n v="8.4"/>
    <s v="Good"/>
    <n v="9"/>
    <x v="0"/>
    <n v="30"/>
    <n v="1.25"/>
    <x v="2"/>
    <x v="4"/>
    <x v="1"/>
    <s v="125/80"/>
    <n v="65"/>
    <n v="5000"/>
    <s v="Half Achieved"/>
    <x v="0"/>
  </r>
  <r>
    <x v="333"/>
    <x v="1"/>
    <x v="25"/>
    <x v="3"/>
    <x v="5"/>
    <n v="8.4"/>
    <s v="Good"/>
    <n v="9"/>
    <x v="0"/>
    <n v="30"/>
    <n v="1.25"/>
    <x v="2"/>
    <x v="4"/>
    <x v="1"/>
    <s v="125/80"/>
    <n v="65"/>
    <n v="5000"/>
    <s v="Half Achieved"/>
    <x v="0"/>
  </r>
  <r>
    <x v="334"/>
    <x v="1"/>
    <x v="25"/>
    <x v="3"/>
    <x v="5"/>
    <n v="8.4"/>
    <s v="Good"/>
    <n v="9"/>
    <x v="0"/>
    <n v="30"/>
    <n v="1.25"/>
    <x v="2"/>
    <x v="4"/>
    <x v="1"/>
    <s v="125/80"/>
    <n v="65"/>
    <n v="5000"/>
    <s v="Half Achieved"/>
    <x v="0"/>
  </r>
  <r>
    <x v="335"/>
    <x v="1"/>
    <x v="25"/>
    <x v="3"/>
    <x v="5"/>
    <n v="8.4"/>
    <s v="Good"/>
    <n v="9"/>
    <x v="0"/>
    <n v="30"/>
    <n v="1.25"/>
    <x v="2"/>
    <x v="4"/>
    <x v="1"/>
    <s v="125/80"/>
    <n v="65"/>
    <n v="5000"/>
    <s v="Half Achieved"/>
    <x v="0"/>
  </r>
  <r>
    <x v="336"/>
    <x v="1"/>
    <x v="25"/>
    <x v="3"/>
    <x v="5"/>
    <n v="8.4"/>
    <s v="Good"/>
    <n v="9"/>
    <x v="0"/>
    <n v="30"/>
    <n v="1.25"/>
    <x v="2"/>
    <x v="4"/>
    <x v="1"/>
    <s v="125/80"/>
    <n v="65"/>
    <n v="5000"/>
    <s v="Half Achieved"/>
    <x v="0"/>
  </r>
  <r>
    <x v="337"/>
    <x v="1"/>
    <x v="25"/>
    <x v="3"/>
    <x v="5"/>
    <n v="8.4"/>
    <s v="Good"/>
    <n v="9"/>
    <x v="0"/>
    <n v="30"/>
    <n v="1.25"/>
    <x v="2"/>
    <x v="4"/>
    <x v="1"/>
    <s v="125/80"/>
    <n v="65"/>
    <n v="5000"/>
    <s v="Half Achieved"/>
    <x v="0"/>
  </r>
  <r>
    <x v="338"/>
    <x v="1"/>
    <x v="25"/>
    <x v="3"/>
    <x v="5"/>
    <n v="8.5"/>
    <s v="Good"/>
    <n v="9"/>
    <x v="0"/>
    <n v="30"/>
    <n v="1.25"/>
    <x v="2"/>
    <x v="4"/>
    <x v="1"/>
    <s v="125/80"/>
    <n v="65"/>
    <n v="5000"/>
    <s v="Half Achieved"/>
    <x v="0"/>
  </r>
  <r>
    <x v="339"/>
    <x v="1"/>
    <x v="26"/>
    <x v="3"/>
    <x v="4"/>
    <n v="8.1"/>
    <s v="Good"/>
    <n v="9"/>
    <x v="0"/>
    <n v="75"/>
    <n v="3.125"/>
    <x v="1"/>
    <x v="3"/>
    <x v="0"/>
    <s v="140/95"/>
    <n v="72"/>
    <n v="5000"/>
    <s v="Half Achieved"/>
    <x v="1"/>
  </r>
  <r>
    <x v="340"/>
    <x v="1"/>
    <x v="26"/>
    <x v="3"/>
    <x v="4"/>
    <n v="8.1"/>
    <s v="Good"/>
    <n v="9"/>
    <x v="0"/>
    <n v="75"/>
    <n v="3.125"/>
    <x v="1"/>
    <x v="3"/>
    <x v="0"/>
    <s v="140/95"/>
    <n v="72"/>
    <n v="5000"/>
    <s v="Half Achieved"/>
    <x v="1"/>
  </r>
  <r>
    <x v="341"/>
    <x v="1"/>
    <x v="27"/>
    <x v="3"/>
    <x v="1"/>
    <n v="8.1999999999999993"/>
    <s v="Good"/>
    <n v="9"/>
    <x v="0"/>
    <n v="90"/>
    <n v="3.75"/>
    <x v="1"/>
    <x v="4"/>
    <x v="1"/>
    <s v="118/75"/>
    <n v="65"/>
    <n v="10000"/>
    <s v="Steps Achieved"/>
    <x v="0"/>
  </r>
  <r>
    <x v="342"/>
    <x v="1"/>
    <x v="27"/>
    <x v="3"/>
    <x v="1"/>
    <n v="8.1999999999999993"/>
    <s v="Good"/>
    <n v="9"/>
    <x v="0"/>
    <n v="90"/>
    <n v="3.75"/>
    <x v="1"/>
    <x v="4"/>
    <x v="1"/>
    <s v="118/75"/>
    <n v="65"/>
    <n v="10000"/>
    <s v="Steps Achieved"/>
    <x v="0"/>
  </r>
  <r>
    <x v="343"/>
    <x v="1"/>
    <x v="28"/>
    <x v="3"/>
    <x v="4"/>
    <n v="8.1"/>
    <s v="Good"/>
    <n v="9"/>
    <x v="0"/>
    <n v="75"/>
    <n v="3.125"/>
    <x v="1"/>
    <x v="4"/>
    <x v="0"/>
    <s v="140/95"/>
    <n v="68"/>
    <n v="7000"/>
    <s v="Half Achieved"/>
    <x v="0"/>
  </r>
  <r>
    <x v="344"/>
    <x v="1"/>
    <x v="28"/>
    <x v="3"/>
    <x v="4"/>
    <n v="8.1999999999999993"/>
    <s v="Good"/>
    <n v="9"/>
    <x v="0"/>
    <n v="75"/>
    <n v="3.125"/>
    <x v="1"/>
    <x v="4"/>
    <x v="0"/>
    <s v="140/95"/>
    <n v="68"/>
    <n v="7000"/>
    <s v="Half Achieved"/>
    <x v="1"/>
  </r>
  <r>
    <x v="345"/>
    <x v="1"/>
    <x v="28"/>
    <x v="3"/>
    <x v="4"/>
    <n v="8.1999999999999993"/>
    <s v="Good"/>
    <n v="9"/>
    <x v="0"/>
    <n v="75"/>
    <n v="3.125"/>
    <x v="1"/>
    <x v="4"/>
    <x v="0"/>
    <s v="140/95"/>
    <n v="68"/>
    <n v="7000"/>
    <s v="Half Achieved"/>
    <x v="1"/>
  </r>
  <r>
    <x v="346"/>
    <x v="1"/>
    <x v="28"/>
    <x v="3"/>
    <x v="4"/>
    <n v="8.1999999999999993"/>
    <s v="Good"/>
    <n v="9"/>
    <x v="0"/>
    <n v="75"/>
    <n v="3.125"/>
    <x v="1"/>
    <x v="4"/>
    <x v="0"/>
    <s v="140/95"/>
    <n v="68"/>
    <n v="7000"/>
    <s v="Half Achieved"/>
    <x v="1"/>
  </r>
  <r>
    <x v="347"/>
    <x v="1"/>
    <x v="28"/>
    <x v="3"/>
    <x v="4"/>
    <n v="8.1999999999999993"/>
    <s v="Good"/>
    <n v="9"/>
    <x v="0"/>
    <n v="75"/>
    <n v="3.125"/>
    <x v="1"/>
    <x v="4"/>
    <x v="0"/>
    <s v="140/95"/>
    <n v="68"/>
    <n v="7000"/>
    <s v="Half Achieved"/>
    <x v="1"/>
  </r>
  <r>
    <x v="348"/>
    <x v="1"/>
    <x v="28"/>
    <x v="3"/>
    <x v="4"/>
    <n v="8.1999999999999993"/>
    <s v="Good"/>
    <n v="9"/>
    <x v="0"/>
    <n v="75"/>
    <n v="3.125"/>
    <x v="1"/>
    <x v="4"/>
    <x v="0"/>
    <s v="140/95"/>
    <n v="68"/>
    <n v="7000"/>
    <s v="Half Achieved"/>
    <x v="1"/>
  </r>
  <r>
    <x v="349"/>
    <x v="1"/>
    <x v="28"/>
    <x v="3"/>
    <x v="4"/>
    <n v="8.1"/>
    <s v="Good"/>
    <n v="9"/>
    <x v="0"/>
    <n v="75"/>
    <n v="3.125"/>
    <x v="1"/>
    <x v="4"/>
    <x v="0"/>
    <s v="140/95"/>
    <n v="68"/>
    <n v="7000"/>
    <s v="Half Achieved"/>
    <x v="1"/>
  </r>
  <r>
    <x v="350"/>
    <x v="1"/>
    <x v="28"/>
    <x v="3"/>
    <x v="4"/>
    <n v="8.1"/>
    <s v="Good"/>
    <n v="9"/>
    <x v="0"/>
    <n v="75"/>
    <n v="3.125"/>
    <x v="1"/>
    <x v="4"/>
    <x v="0"/>
    <s v="140/95"/>
    <n v="68"/>
    <n v="7000"/>
    <s v="Half Achieved"/>
    <x v="1"/>
  </r>
  <r>
    <x v="351"/>
    <x v="1"/>
    <x v="28"/>
    <x v="3"/>
    <x v="4"/>
    <n v="8.1"/>
    <s v="Good"/>
    <n v="9"/>
    <x v="0"/>
    <n v="75"/>
    <n v="3.125"/>
    <x v="1"/>
    <x v="4"/>
    <x v="0"/>
    <s v="140/95"/>
    <n v="68"/>
    <n v="7000"/>
    <s v="Half Achieved"/>
    <x v="1"/>
  </r>
  <r>
    <x v="352"/>
    <x v="1"/>
    <x v="29"/>
    <x v="3"/>
    <x v="4"/>
    <n v="8"/>
    <s v="Good"/>
    <n v="9"/>
    <x v="0"/>
    <n v="75"/>
    <n v="3.125"/>
    <x v="1"/>
    <x v="4"/>
    <x v="0"/>
    <s v="140/95"/>
    <n v="68"/>
    <n v="7000"/>
    <s v="Half Achieved"/>
    <x v="1"/>
  </r>
  <r>
    <x v="353"/>
    <x v="1"/>
    <x v="29"/>
    <x v="3"/>
    <x v="4"/>
    <n v="8"/>
    <s v="Good"/>
    <n v="9"/>
    <x v="0"/>
    <n v="75"/>
    <n v="3.125"/>
    <x v="1"/>
    <x v="4"/>
    <x v="0"/>
    <s v="140/95"/>
    <n v="68"/>
    <n v="7000"/>
    <s v="Half Achieved"/>
    <x v="1"/>
  </r>
  <r>
    <x v="354"/>
    <x v="1"/>
    <x v="29"/>
    <x v="3"/>
    <x v="4"/>
    <n v="8"/>
    <s v="Good"/>
    <n v="9"/>
    <x v="0"/>
    <n v="75"/>
    <n v="3.125"/>
    <x v="1"/>
    <x v="4"/>
    <x v="0"/>
    <s v="140/95"/>
    <n v="68"/>
    <n v="7000"/>
    <s v="Half Achieved"/>
    <x v="1"/>
  </r>
  <r>
    <x v="355"/>
    <x v="1"/>
    <x v="29"/>
    <x v="3"/>
    <x v="4"/>
    <n v="8"/>
    <s v="Good"/>
    <n v="9"/>
    <x v="0"/>
    <n v="75"/>
    <n v="3.125"/>
    <x v="1"/>
    <x v="4"/>
    <x v="0"/>
    <s v="140/95"/>
    <n v="68"/>
    <n v="7000"/>
    <s v="Half Achieved"/>
    <x v="1"/>
  </r>
  <r>
    <x v="356"/>
    <x v="1"/>
    <x v="29"/>
    <x v="3"/>
    <x v="4"/>
    <n v="8"/>
    <s v="Good"/>
    <n v="9"/>
    <x v="0"/>
    <n v="75"/>
    <n v="3.125"/>
    <x v="1"/>
    <x v="4"/>
    <x v="0"/>
    <s v="140/95"/>
    <n v="68"/>
    <n v="7000"/>
    <s v="Half Achieved"/>
    <x v="1"/>
  </r>
  <r>
    <x v="357"/>
    <x v="1"/>
    <x v="29"/>
    <x v="3"/>
    <x v="4"/>
    <n v="8"/>
    <s v="Good"/>
    <n v="9"/>
    <x v="0"/>
    <n v="75"/>
    <n v="3.125"/>
    <x v="1"/>
    <x v="4"/>
    <x v="0"/>
    <s v="140/95"/>
    <n v="68"/>
    <n v="7000"/>
    <s v="Half Achieved"/>
    <x v="1"/>
  </r>
  <r>
    <x v="358"/>
    <x v="1"/>
    <x v="30"/>
    <x v="3"/>
    <x v="4"/>
    <n v="8"/>
    <s v="Good"/>
    <n v="9"/>
    <x v="0"/>
    <n v="75"/>
    <n v="3.125"/>
    <x v="1"/>
    <x v="4"/>
    <x v="0"/>
    <s v="140/95"/>
    <n v="68"/>
    <n v="7000"/>
    <s v="Half Achieved"/>
    <x v="0"/>
  </r>
  <r>
    <x v="359"/>
    <x v="1"/>
    <x v="30"/>
    <x v="3"/>
    <x v="4"/>
    <n v="8.1"/>
    <s v="Good"/>
    <n v="9"/>
    <x v="0"/>
    <n v="75"/>
    <n v="3.125"/>
    <x v="1"/>
    <x v="4"/>
    <x v="0"/>
    <s v="140/95"/>
    <n v="68"/>
    <n v="7000"/>
    <s v="Half Achieved"/>
    <x v="0"/>
  </r>
  <r>
    <x v="360"/>
    <x v="1"/>
    <x v="30"/>
    <x v="3"/>
    <x v="4"/>
    <n v="8.1999999999999993"/>
    <s v="Good"/>
    <n v="9"/>
    <x v="0"/>
    <n v="75"/>
    <n v="3.125"/>
    <x v="1"/>
    <x v="4"/>
    <x v="0"/>
    <s v="140/95"/>
    <n v="68"/>
    <n v="7000"/>
    <s v="Half Achieved"/>
    <x v="1"/>
  </r>
  <r>
    <x v="361"/>
    <x v="1"/>
    <x v="30"/>
    <x v="3"/>
    <x v="4"/>
    <n v="8.1999999999999993"/>
    <s v="Good"/>
    <n v="9"/>
    <x v="0"/>
    <n v="75"/>
    <n v="3.125"/>
    <x v="1"/>
    <x v="4"/>
    <x v="0"/>
    <s v="140/95"/>
    <n v="68"/>
    <n v="7000"/>
    <s v="Half Achieved"/>
    <x v="1"/>
  </r>
  <r>
    <x v="362"/>
    <x v="1"/>
    <x v="30"/>
    <x v="3"/>
    <x v="4"/>
    <n v="8.1999999999999993"/>
    <s v="Good"/>
    <n v="9"/>
    <x v="0"/>
    <n v="75"/>
    <n v="3.125"/>
    <x v="1"/>
    <x v="4"/>
    <x v="0"/>
    <s v="140/95"/>
    <n v="68"/>
    <n v="7000"/>
    <s v="Half Achieved"/>
    <x v="1"/>
  </r>
  <r>
    <x v="363"/>
    <x v="1"/>
    <x v="30"/>
    <x v="3"/>
    <x v="4"/>
    <n v="8.1999999999999993"/>
    <s v="Good"/>
    <n v="9"/>
    <x v="0"/>
    <n v="75"/>
    <n v="3.125"/>
    <x v="1"/>
    <x v="4"/>
    <x v="0"/>
    <s v="140/95"/>
    <n v="68"/>
    <n v="7000"/>
    <s v="Half Achieved"/>
    <x v="1"/>
  </r>
  <r>
    <x v="364"/>
    <x v="1"/>
    <x v="30"/>
    <x v="3"/>
    <x v="4"/>
    <n v="8"/>
    <s v="Good"/>
    <n v="9"/>
    <x v="0"/>
    <n v="75"/>
    <n v="3.125"/>
    <x v="1"/>
    <x v="4"/>
    <x v="0"/>
    <s v="140/95"/>
    <n v="68"/>
    <n v="7000"/>
    <s v="Half Achieved"/>
    <x v="1"/>
  </r>
  <r>
    <x v="365"/>
    <x v="1"/>
    <x v="30"/>
    <x v="3"/>
    <x v="4"/>
    <n v="8"/>
    <s v="Good"/>
    <n v="9"/>
    <x v="0"/>
    <n v="75"/>
    <n v="3.125"/>
    <x v="1"/>
    <x v="4"/>
    <x v="0"/>
    <s v="140/95"/>
    <n v="68"/>
    <n v="7000"/>
    <s v="Half Achieved"/>
    <x v="1"/>
  </r>
  <r>
    <x v="366"/>
    <x v="1"/>
    <x v="30"/>
    <x v="3"/>
    <x v="4"/>
    <n v="8.1"/>
    <s v="Good"/>
    <n v="9"/>
    <x v="0"/>
    <n v="75"/>
    <n v="3.125"/>
    <x v="1"/>
    <x v="4"/>
    <x v="0"/>
    <s v="140/95"/>
    <n v="68"/>
    <n v="7000"/>
    <s v="Half Achieved"/>
    <x v="1"/>
  </r>
  <r>
    <x v="367"/>
    <x v="1"/>
    <x v="30"/>
    <x v="3"/>
    <x v="4"/>
    <n v="8"/>
    <s v="Good"/>
    <n v="9"/>
    <x v="0"/>
    <n v="75"/>
    <n v="3.125"/>
    <x v="1"/>
    <x v="4"/>
    <x v="0"/>
    <s v="140/95"/>
    <n v="68"/>
    <n v="7000"/>
    <s v="Half Achieved"/>
    <x v="1"/>
  </r>
  <r>
    <x v="368"/>
    <x v="1"/>
    <x v="30"/>
    <x v="3"/>
    <x v="4"/>
    <n v="8.1"/>
    <s v="Good"/>
    <n v="9"/>
    <x v="0"/>
    <n v="75"/>
    <n v="3.125"/>
    <x v="1"/>
    <x v="4"/>
    <x v="0"/>
    <s v="140/95"/>
    <n v="68"/>
    <n v="7000"/>
    <s v="Half Achieved"/>
    <x v="1"/>
  </r>
  <r>
    <x v="369"/>
    <x v="1"/>
    <x v="30"/>
    <x v="3"/>
    <x v="4"/>
    <n v="8.1"/>
    <s v="Good"/>
    <n v="9"/>
    <x v="0"/>
    <n v="75"/>
    <n v="3.125"/>
    <x v="1"/>
    <x v="4"/>
    <x v="0"/>
    <s v="140/95"/>
    <n v="68"/>
    <n v="7000"/>
    <s v="Half Achieved"/>
    <x v="1"/>
  </r>
  <r>
    <x v="370"/>
    <x v="1"/>
    <x v="30"/>
    <x v="3"/>
    <x v="4"/>
    <n v="8"/>
    <s v="Good"/>
    <n v="9"/>
    <x v="0"/>
    <n v="75"/>
    <n v="3.125"/>
    <x v="1"/>
    <x v="4"/>
    <x v="0"/>
    <s v="140/95"/>
    <n v="68"/>
    <n v="7000"/>
    <s v="Half Achieved"/>
    <x v="1"/>
  </r>
  <r>
    <x v="371"/>
    <x v="1"/>
    <x v="30"/>
    <x v="3"/>
    <x v="4"/>
    <n v="8.1"/>
    <s v="Good"/>
    <n v="9"/>
    <x v="0"/>
    <n v="75"/>
    <n v="3.125"/>
    <x v="1"/>
    <x v="4"/>
    <x v="0"/>
    <s v="140/95"/>
    <n v="68"/>
    <n v="7000"/>
    <s v="Half Achieved"/>
    <x v="1"/>
  </r>
  <r>
    <x v="372"/>
    <x v="1"/>
    <x v="30"/>
    <x v="3"/>
    <x v="4"/>
    <n v="8.1"/>
    <s v="Good"/>
    <n v="9"/>
    <x v="0"/>
    <n v="75"/>
    <n v="3.125"/>
    <x v="1"/>
    <x v="4"/>
    <x v="0"/>
    <s v="140/95"/>
    <n v="68"/>
    <n v="7000"/>
    <s v="Half Achieved"/>
    <x v="1"/>
  </r>
  <r>
    <x v="373"/>
    <x v="1"/>
    <x v="30"/>
    <x v="3"/>
    <x v="4"/>
    <n v="8.1"/>
    <s v="Good"/>
    <n v="9"/>
    <x v="0"/>
    <n v="75"/>
    <n v="3.125"/>
    <x v="1"/>
    <x v="4"/>
    <x v="0"/>
    <s v="140/95"/>
    <n v="68"/>
    <n v="7000"/>
    <s v="Half Achieved"/>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tress level &amp; Sleep Disorder"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1">
  <location ref="F8:I15" firstHeaderRow="1" firstDataRow="2" firstDataCol="1"/>
  <pivotFields count="19">
    <pivotField dataField="1"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multipleItemSelectionAllowed="1" showAll="0">
      <items count="3">
        <item x="1"/>
        <item x="0"/>
        <item t="default"/>
      </items>
    </pivotField>
    <pivotField showAll="0"/>
    <pivotField showAll="0" defaultSubtotal="0">
      <items count="4">
        <item x="0"/>
        <item x="1"/>
        <item x="2"/>
        <item x="3"/>
      </items>
    </pivotField>
    <pivotField showAll="0">
      <items count="12">
        <item x="6"/>
        <item x="1"/>
        <item x="5"/>
        <item x="8"/>
        <item x="10"/>
        <item x="4"/>
        <item x="2"/>
        <item x="9"/>
        <item x="7"/>
        <item x="0"/>
        <item x="3"/>
        <item t="default"/>
      </items>
    </pivotField>
    <pivotField showAll="0"/>
    <pivotField showAll="0"/>
    <pivotField showAll="0"/>
    <pivotField showAll="0"/>
    <pivotField showAll="0"/>
    <pivotField numFmtId="164" showAll="0"/>
    <pivotField showAll="0">
      <items count="4">
        <item x="0"/>
        <item x="1"/>
        <item x="2"/>
        <item t="default"/>
      </items>
    </pivotField>
    <pivotField axis="axisRow" showAll="0">
      <items count="7">
        <item x="4"/>
        <item x="3"/>
        <item x="5"/>
        <item x="0"/>
        <item x="2"/>
        <item x="1"/>
        <item t="default"/>
      </items>
    </pivotField>
    <pivotField showAll="0"/>
    <pivotField showAll="0"/>
    <pivotField showAll="0"/>
    <pivotField showAll="0"/>
    <pivotField showAll="0"/>
    <pivotField axis="axisCol" showAll="0">
      <items count="4">
        <item x="2"/>
        <item x="0"/>
        <item x="1"/>
        <item t="default"/>
      </items>
    </pivotField>
  </pivotFields>
  <rowFields count="1">
    <field x="12"/>
  </rowFields>
  <rowItems count="6">
    <i>
      <x/>
    </i>
    <i>
      <x v="1"/>
    </i>
    <i>
      <x v="2"/>
    </i>
    <i>
      <x v="3"/>
    </i>
    <i>
      <x v="4"/>
    </i>
    <i>
      <x v="5"/>
    </i>
  </rowItems>
  <colFields count="1">
    <field x="18"/>
  </colFields>
  <colItems count="3">
    <i>
      <x/>
    </i>
    <i>
      <x v="1"/>
    </i>
    <i>
      <x v="2"/>
    </i>
  </colItems>
  <dataFields count="1">
    <dataField name="Count of Person ID" fld="0" subtotal="count" baseField="12" baseItem="0"/>
  </dataFields>
  <chartFormats count="9">
    <chartFormat chart="10" format="19" series="1">
      <pivotArea type="data" outline="0" fieldPosition="0">
        <references count="2">
          <reference field="4294967294" count="1" selected="0">
            <x v="0"/>
          </reference>
          <reference field="18" count="1" selected="0">
            <x v="0"/>
          </reference>
        </references>
      </pivotArea>
    </chartFormat>
    <chartFormat chart="10" format="20" series="1">
      <pivotArea type="data" outline="0" fieldPosition="0">
        <references count="2">
          <reference field="4294967294" count="1" selected="0">
            <x v="0"/>
          </reference>
          <reference field="18" count="1" selected="0">
            <x v="1"/>
          </reference>
        </references>
      </pivotArea>
    </chartFormat>
    <chartFormat chart="10" format="21">
      <pivotArea type="data" outline="0" fieldPosition="0">
        <references count="3">
          <reference field="4294967294" count="1" selected="0">
            <x v="0"/>
          </reference>
          <reference field="12" count="1" selected="0">
            <x v="4"/>
          </reference>
          <reference field="18" count="1" selected="0">
            <x v="1"/>
          </reference>
        </references>
      </pivotArea>
    </chartFormat>
    <chartFormat chart="10" format="22" series="1">
      <pivotArea type="data" outline="0" fieldPosition="0">
        <references count="2">
          <reference field="4294967294" count="1" selected="0">
            <x v="0"/>
          </reference>
          <reference field="18" count="1" selected="0">
            <x v="2"/>
          </reference>
        </references>
      </pivotArea>
    </chartFormat>
    <chartFormat chart="10" format="23">
      <pivotArea type="data" outline="0" fieldPosition="0">
        <references count="3">
          <reference field="4294967294" count="1" selected="0">
            <x v="0"/>
          </reference>
          <reference field="12" count="1" selected="0">
            <x v="0"/>
          </reference>
          <reference field="18" count="1" selected="0">
            <x v="2"/>
          </reference>
        </references>
      </pivotArea>
    </chartFormat>
    <chartFormat chart="10" format="24">
      <pivotArea type="data" outline="0" fieldPosition="0">
        <references count="3">
          <reference field="4294967294" count="1" selected="0">
            <x v="0"/>
          </reference>
          <reference field="12" count="1" selected="0">
            <x v="1"/>
          </reference>
          <reference field="18" count="1" selected="0">
            <x v="2"/>
          </reference>
        </references>
      </pivotArea>
    </chartFormat>
    <chartFormat chart="10" format="25">
      <pivotArea type="data" outline="0" fieldPosition="0">
        <references count="3">
          <reference field="4294967294" count="1" selected="0">
            <x v="0"/>
          </reference>
          <reference field="12" count="1" selected="0">
            <x v="2"/>
          </reference>
          <reference field="18" count="1" selected="0">
            <x v="2"/>
          </reference>
        </references>
      </pivotArea>
    </chartFormat>
    <chartFormat chart="10" format="26">
      <pivotArea type="data" outline="0" fieldPosition="0">
        <references count="3">
          <reference field="4294967294" count="1" selected="0">
            <x v="0"/>
          </reference>
          <reference field="12" count="1" selected="0">
            <x v="3"/>
          </reference>
          <reference field="18" count="1" selected="0">
            <x v="2"/>
          </reference>
        </references>
      </pivotArea>
    </chartFormat>
    <chartFormat chart="10" format="2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AGE GP &amp; BMI"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0">
  <location ref="A8:D13" firstHeaderRow="1" firstDataRow="2" firstDataCol="1"/>
  <pivotFields count="19">
    <pivotField dataField="1" showAll="0"/>
    <pivotField multipleItemSelectionAllowed="1" showAll="0">
      <items count="3">
        <item x="1"/>
        <item x="0"/>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defaultSubtotal="0">
      <items count="4">
        <item x="0"/>
        <item x="1"/>
        <item x="2"/>
        <item x="3"/>
      </items>
    </pivotField>
    <pivotField showAll="0">
      <items count="12">
        <item x="6"/>
        <item x="1"/>
        <item x="5"/>
        <item x="8"/>
        <item x="10"/>
        <item x="4"/>
        <item x="2"/>
        <item x="9"/>
        <item x="7"/>
        <item x="0"/>
        <item x="3"/>
        <item t="default"/>
      </items>
    </pivotField>
    <pivotField showAll="0"/>
    <pivotField showAll="0"/>
    <pivotField showAll="0"/>
    <pivotField showAll="0"/>
    <pivotField showAll="0"/>
    <pivotField numFmtId="164" showAll="0"/>
    <pivotField showAll="0">
      <items count="4">
        <item x="0"/>
        <item x="1"/>
        <item x="2"/>
        <item t="default"/>
      </items>
    </pivotField>
    <pivotField showAll="0"/>
    <pivotField axis="axisCol" showAll="0">
      <items count="4">
        <item x="1"/>
        <item x="2"/>
        <item x="0"/>
        <item t="default"/>
      </items>
    </pivotField>
    <pivotField showAll="0"/>
    <pivotField showAll="0"/>
    <pivotField showAll="0"/>
    <pivotField showAll="0"/>
    <pivotField showAll="0"/>
  </pivotFields>
  <rowFields count="1">
    <field x="3"/>
  </rowFields>
  <rowItems count="4">
    <i>
      <x/>
    </i>
    <i>
      <x v="1"/>
    </i>
    <i>
      <x v="2"/>
    </i>
    <i>
      <x v="3"/>
    </i>
  </rowItems>
  <colFields count="1">
    <field x="13"/>
  </colFields>
  <colItems count="3">
    <i>
      <x/>
    </i>
    <i>
      <x v="1"/>
    </i>
    <i>
      <x v="2"/>
    </i>
  </colItems>
  <dataFields count="1">
    <dataField name="Count of Person ID" fld="0" subtotal="count" baseField="3" baseItem="0"/>
  </dataFields>
  <chartFormats count="5">
    <chartFormat chart="9" format="8" series="1">
      <pivotArea type="data" outline="0" fieldPosition="0">
        <references count="2">
          <reference field="4294967294" count="1" selected="0">
            <x v="0"/>
          </reference>
          <reference field="13" count="1" selected="0">
            <x v="0"/>
          </reference>
        </references>
      </pivotArea>
    </chartFormat>
    <chartFormat chart="9" format="9">
      <pivotArea type="data" outline="0" fieldPosition="0">
        <references count="3">
          <reference field="4294967294" count="1" selected="0">
            <x v="0"/>
          </reference>
          <reference field="3" count="1" selected="0">
            <x v="1"/>
          </reference>
          <reference field="13" count="1" selected="0">
            <x v="0"/>
          </reference>
        </references>
      </pivotArea>
    </chartFormat>
    <chartFormat chart="9" format="10" series="1">
      <pivotArea type="data" outline="0" fieldPosition="0">
        <references count="2">
          <reference field="4294967294" count="1" selected="0">
            <x v="0"/>
          </reference>
          <reference field="13" count="1" selected="0">
            <x v="1"/>
          </reference>
        </references>
      </pivotArea>
    </chartFormat>
    <chartFormat chart="9" format="11" series="1">
      <pivotArea type="data" outline="0" fieldPosition="0">
        <references count="2">
          <reference field="4294967294" count="1" selected="0">
            <x v="0"/>
          </reference>
          <reference field="13" count="1" selected="0">
            <x v="2"/>
          </reference>
        </references>
      </pivotArea>
    </chartFormat>
    <chartFormat chart="9"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Lifestyle VS slee"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7">
  <location ref="E3:F6" firstHeaderRow="1" firstDataRow="1" firstDataCol="1"/>
  <pivotFields count="19">
    <pivotField showAll="0"/>
    <pivotField multipleItemSelectionAllowed="1" showAll="0">
      <items count="3">
        <item x="1"/>
        <item x="0"/>
        <item t="default"/>
      </items>
    </pivotField>
    <pivotField showAll="0"/>
    <pivotField showAll="0" defaultSubtotal="0">
      <items count="4">
        <item x="0"/>
        <item x="1"/>
        <item x="2"/>
        <item x="3"/>
      </items>
    </pivotField>
    <pivotField showAll="0">
      <items count="12">
        <item x="6"/>
        <item x="1"/>
        <item x="5"/>
        <item x="8"/>
        <item x="10"/>
        <item x="4"/>
        <item x="2"/>
        <item x="9"/>
        <item x="7"/>
        <item x="0"/>
        <item x="3"/>
        <item t="default"/>
      </items>
    </pivotField>
    <pivotField dataField="1" showAll="0"/>
    <pivotField showAll="0"/>
    <pivotField showAll="0"/>
    <pivotField showAll="0"/>
    <pivotField showAll="0"/>
    <pivotField numFmtId="164" showAll="0"/>
    <pivotField axis="axisRow" showAll="0">
      <items count="4">
        <item x="0"/>
        <item x="1"/>
        <item x="2"/>
        <item t="default"/>
      </items>
    </pivotField>
    <pivotField showAll="0"/>
    <pivotField showAll="0"/>
    <pivotField showAll="0"/>
    <pivotField showAll="0"/>
    <pivotField showAll="0"/>
    <pivotField showAll="0"/>
    <pivotField showAll="0"/>
  </pivotFields>
  <rowFields count="1">
    <field x="11"/>
  </rowFields>
  <rowItems count="3">
    <i>
      <x/>
    </i>
    <i>
      <x v="1"/>
    </i>
    <i>
      <x v="2"/>
    </i>
  </rowItems>
  <colItems count="1">
    <i/>
  </colItems>
  <dataFields count="1">
    <dataField name="Average of Sleep Duration" fld="5" subtotal="average" baseField="10" baseItem="1" numFmtId="164"/>
  </dataFields>
  <formats count="1">
    <format dxfId="31">
      <pivotArea outline="0" collapsedLevelsAreSubtotals="1" fieldPosition="0">
        <references count="1">
          <reference field="4294967294" count="1" selected="0">
            <x v="0"/>
          </reference>
        </references>
      </pivotArea>
    </format>
  </formats>
  <chartFormats count="2">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Occupation &amp; stress level"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0">
  <location ref="F17:G28" firstHeaderRow="1" firstDataRow="1" firstDataCol="1"/>
  <pivotFields count="19">
    <pivotField showAll="0"/>
    <pivotField multipleItemSelectionAllowed="1" showAll="0">
      <items count="3">
        <item x="1"/>
        <item x="0"/>
        <item t="default"/>
      </items>
    </pivotField>
    <pivotField showAll="0"/>
    <pivotField showAll="0" defaultSubtotal="0">
      <items count="4">
        <item x="0"/>
        <item x="1"/>
        <item x="2"/>
        <item x="3"/>
      </items>
    </pivotField>
    <pivotField axis="axisRow" showAll="0">
      <items count="12">
        <item x="6"/>
        <item x="1"/>
        <item x="5"/>
        <item x="8"/>
        <item x="10"/>
        <item x="4"/>
        <item x="2"/>
        <item x="9"/>
        <item x="7"/>
        <item x="0"/>
        <item x="3"/>
        <item t="default"/>
      </items>
    </pivotField>
    <pivotField showAll="0"/>
    <pivotField showAll="0"/>
    <pivotField showAll="0"/>
    <pivotField showAll="0"/>
    <pivotField showAll="0"/>
    <pivotField numFmtId="164" showAll="0"/>
    <pivotField showAll="0">
      <items count="4">
        <item x="0"/>
        <item x="1"/>
        <item x="2"/>
        <item t="default"/>
      </items>
    </pivotField>
    <pivotField dataField="1" showAll="0">
      <items count="7">
        <item x="4"/>
        <item x="3"/>
        <item x="5"/>
        <item x="0"/>
        <item x="2"/>
        <item x="1"/>
        <item t="default"/>
      </items>
    </pivotField>
    <pivotField showAll="0"/>
    <pivotField showAll="0"/>
    <pivotField showAll="0"/>
    <pivotField showAll="0"/>
    <pivotField showAll="0"/>
    <pivotField showAll="0"/>
  </pivotFields>
  <rowFields count="1">
    <field x="4"/>
  </rowFields>
  <rowItems count="11">
    <i>
      <x/>
    </i>
    <i>
      <x v="1"/>
    </i>
    <i>
      <x v="2"/>
    </i>
    <i>
      <x v="3"/>
    </i>
    <i>
      <x v="4"/>
    </i>
    <i>
      <x v="5"/>
    </i>
    <i>
      <x v="6"/>
    </i>
    <i>
      <x v="7"/>
    </i>
    <i>
      <x v="8"/>
    </i>
    <i>
      <x v="9"/>
    </i>
    <i>
      <x v="10"/>
    </i>
  </rowItems>
  <colItems count="1">
    <i/>
  </colItems>
  <dataFields count="1">
    <dataField name="Average of Stress Level" fld="12" subtotal="average" baseField="4" baseItem="0" numFmtId="164"/>
  </dataFields>
  <formats count="1">
    <format dxfId="32">
      <pivotArea outline="0" collapsedLevelsAreSubtotals="1" fieldPosition="0"/>
    </format>
  </formats>
  <chartFormats count="2">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Sleep quality &amp; avg sleep duration"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3:B5" firstHeaderRow="1" firstDataRow="1" firstDataCol="1" rowPageCount="1" colPageCount="1"/>
  <pivotFields count="19">
    <pivotField showAll="0"/>
    <pivotField axis="axisPage" multipleItemSelectionAllowed="1" showAll="0">
      <items count="3">
        <item x="1"/>
        <item x="0"/>
        <item t="default"/>
      </items>
    </pivotField>
    <pivotField showAll="0"/>
    <pivotField showAll="0" defaultSubtotal="0">
      <items count="4">
        <item x="0"/>
        <item x="1"/>
        <item x="2"/>
        <item x="3"/>
      </items>
    </pivotField>
    <pivotField showAll="0">
      <items count="12">
        <item x="6"/>
        <item x="1"/>
        <item x="5"/>
        <item x="8"/>
        <item x="10"/>
        <item x="4"/>
        <item x="2"/>
        <item x="9"/>
        <item x="7"/>
        <item x="0"/>
        <item x="3"/>
        <item t="default"/>
      </items>
    </pivotField>
    <pivotField dataField="1" showAll="0"/>
    <pivotField showAll="0"/>
    <pivotField showAll="0"/>
    <pivotField axis="axisRow" showAll="0">
      <items count="3">
        <item x="0"/>
        <item x="1"/>
        <item t="default"/>
      </items>
    </pivotField>
    <pivotField showAll="0"/>
    <pivotField numFmtId="164" showAll="0"/>
    <pivotField showAll="0"/>
    <pivotField showAll="0"/>
    <pivotField showAll="0"/>
    <pivotField showAll="0"/>
    <pivotField showAll="0"/>
    <pivotField showAll="0"/>
    <pivotField showAll="0"/>
    <pivotField showAll="0"/>
  </pivotFields>
  <rowFields count="1">
    <field x="8"/>
  </rowFields>
  <rowItems count="2">
    <i>
      <x/>
    </i>
    <i>
      <x v="1"/>
    </i>
  </rowItems>
  <colItems count="1">
    <i/>
  </colItems>
  <pageFields count="1">
    <pageField fld="1" hier="-1"/>
  </pageFields>
  <dataFields count="1">
    <dataField name="Average of Sleep Duration" fld="5" subtotal="average" baseField="7" baseItem="0"/>
  </dataFields>
  <formats count="1">
    <format dxfId="33">
      <pivotArea collapsedLevelsAreSubtotals="1" fieldPosition="0">
        <references count="1">
          <reference field="8"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Lifestyle &amp; BMI"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0">
  <location ref="A17:D21" firstHeaderRow="1" firstDataRow="2" firstDataCol="1"/>
  <pivotFields count="19">
    <pivotField dataField="1" showAll="0"/>
    <pivotField multipleItemSelectionAllowed="1" showAll="0">
      <items count="3">
        <item x="1"/>
        <item x="0"/>
        <item t="default"/>
      </items>
    </pivotField>
    <pivotField showAll="0"/>
    <pivotField showAll="0" defaultSubtotal="0">
      <items count="4">
        <item x="0"/>
        <item x="1"/>
        <item x="2"/>
        <item x="3"/>
      </items>
    </pivotField>
    <pivotField showAll="0">
      <items count="12">
        <item x="6"/>
        <item x="1"/>
        <item x="5"/>
        <item x="8"/>
        <item x="10"/>
        <item x="4"/>
        <item x="2"/>
        <item x="9"/>
        <item x="7"/>
        <item x="0"/>
        <item x="3"/>
        <item t="default"/>
      </items>
    </pivotField>
    <pivotField showAll="0"/>
    <pivotField showAll="0"/>
    <pivotField showAll="0"/>
    <pivotField showAll="0"/>
    <pivotField showAll="0"/>
    <pivotField numFmtId="164" showAll="0"/>
    <pivotField axis="axisRow" showAll="0">
      <items count="4">
        <item x="0"/>
        <item x="1"/>
        <item x="2"/>
        <item t="default"/>
      </items>
    </pivotField>
    <pivotField showAll="0"/>
    <pivotField axis="axisCol" showAll="0">
      <items count="4">
        <item x="1"/>
        <item x="2"/>
        <item x="0"/>
        <item t="default"/>
      </items>
    </pivotField>
    <pivotField showAll="0"/>
    <pivotField showAll="0"/>
    <pivotField showAll="0"/>
    <pivotField showAll="0"/>
    <pivotField showAll="0"/>
  </pivotFields>
  <rowFields count="1">
    <field x="11"/>
  </rowFields>
  <rowItems count="3">
    <i>
      <x/>
    </i>
    <i>
      <x v="1"/>
    </i>
    <i>
      <x v="2"/>
    </i>
  </rowItems>
  <colFields count="1">
    <field x="13"/>
  </colFields>
  <colItems count="3">
    <i>
      <x/>
    </i>
    <i>
      <x v="1"/>
    </i>
    <i>
      <x v="2"/>
    </i>
  </colItems>
  <dataFields count="1">
    <dataField name="Count of Person ID" fld="0" subtotal="count" baseField="11" baseItem="0"/>
  </dataFields>
  <chartFormats count="5">
    <chartFormat chart="9" format="8" series="1">
      <pivotArea type="data" outline="0" fieldPosition="0">
        <references count="2">
          <reference field="4294967294" count="1" selected="0">
            <x v="0"/>
          </reference>
          <reference field="13" count="1" selected="0">
            <x v="0"/>
          </reference>
        </references>
      </pivotArea>
    </chartFormat>
    <chartFormat chart="9" format="9">
      <pivotArea type="data" outline="0" fieldPosition="0">
        <references count="3">
          <reference field="4294967294" count="1" selected="0">
            <x v="0"/>
          </reference>
          <reference field="11" count="1" selected="0">
            <x v="1"/>
          </reference>
          <reference field="13" count="1" selected="0">
            <x v="0"/>
          </reference>
        </references>
      </pivotArea>
    </chartFormat>
    <chartFormat chart="9" format="10" series="1">
      <pivotArea type="data" outline="0" fieldPosition="0">
        <references count="2">
          <reference field="4294967294" count="1" selected="0">
            <x v="0"/>
          </reference>
          <reference field="13" count="1" selected="0">
            <x v="1"/>
          </reference>
        </references>
      </pivotArea>
    </chartFormat>
    <chartFormat chart="9" format="11" series="1">
      <pivotArea type="data" outline="0" fieldPosition="0">
        <references count="2">
          <reference field="4294967294" count="1" selected="0">
            <x v="0"/>
          </reference>
          <reference field="13" count="1" selected="0">
            <x v="2"/>
          </reference>
        </references>
      </pivotArea>
    </chartFormat>
    <chartFormat chart="9"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Stress level &amp; Sleep Disorder"/>
    <pivotTable tabId="3" name="AGE GP &amp; BMI"/>
    <pivotTable tabId="3" name="Lifestyle &amp; BMI"/>
    <pivotTable tabId="3" name="Lifestyle VS slee"/>
    <pivotTable tabId="3" name="Occupation &amp; stress level"/>
    <pivotTable tabId="3" name="Sleep quality &amp; avg sleep duration"/>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3" name="Stress level &amp; Sleep Disorder"/>
    <pivotTable tabId="3" name="AGE GP &amp; BMI"/>
    <pivotTable tabId="3" name="Lifestyle &amp; BMI"/>
    <pivotTable tabId="3" name="Lifestyle VS slee"/>
    <pivotTable tabId="3" name="Occupation &amp; stress level"/>
    <pivotTable tabId="3" name="Sleep quality &amp; avg sleep duration"/>
  </pivotTables>
  <data>
    <tabular pivotCacheId="1">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3" name="Stress level &amp; Sleep Disorder"/>
    <pivotTable tabId="3" name="AGE GP &amp; BMI"/>
    <pivotTable tabId="3" name="Lifestyle &amp; BMI"/>
    <pivotTable tabId="3" name="Lifestyle VS slee"/>
    <pivotTable tabId="3" name="Occupation &amp; stress level"/>
    <pivotTable tabId="3" name="Sleep quality &amp; avg sleep duration"/>
  </pivotTables>
  <data>
    <tabular pivotCacheId="1">
      <items count="11">
        <i x="6" s="1"/>
        <i x="1" s="1"/>
        <i x="5" s="1"/>
        <i x="8" s="1"/>
        <i x="10" s="1"/>
        <i x="4" s="1"/>
        <i x="2" s="1"/>
        <i x="9" s="1"/>
        <i x="7"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columnCount="2" style="SlicerStyleDark4" rowHeight="241300"/>
  <slicer name="Age Group" cache="Slicer_Age_Group" caption="Age Group" columnCount="2" style="SlicerStyleDark4" rowHeight="241300"/>
  <slicer name="Occupation" cache="Slicer_Occupation" caption="Occupation" style="SlicerStyleDark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I28"/>
  <sheetViews>
    <sheetView workbookViewId="0">
      <selection activeCell="B12" sqref="B12"/>
    </sheetView>
  </sheetViews>
  <sheetFormatPr defaultRowHeight="15" x14ac:dyDescent="0.25"/>
  <cols>
    <col min="1" max="1" width="13.140625" customWidth="1"/>
    <col min="2" max="2" width="24.5703125" customWidth="1"/>
    <col min="3" max="3" width="6.7109375" customWidth="1"/>
    <col min="4" max="4" width="11.42578125" customWidth="1"/>
    <col min="5" max="5" width="13.140625" customWidth="1"/>
    <col min="6" max="6" width="19.85546875" customWidth="1"/>
    <col min="7" max="7" width="21.85546875" customWidth="1"/>
    <col min="8" max="8" width="5.85546875" customWidth="1"/>
    <col min="9" max="9" width="12.140625" bestFit="1" customWidth="1"/>
    <col min="10" max="12" width="3" customWidth="1"/>
    <col min="13" max="13" width="22.42578125" customWidth="1"/>
    <col min="14" max="18" width="3" customWidth="1"/>
    <col min="19" max="83" width="4" customWidth="1"/>
    <col min="84" max="84" width="14.140625" bestFit="1" customWidth="1"/>
    <col min="85" max="85" width="7.7109375" customWidth="1"/>
    <col min="86" max="89" width="2" customWidth="1"/>
    <col min="90" max="168" width="3" customWidth="1"/>
    <col min="169" max="303" width="4" customWidth="1"/>
    <col min="304" max="304" width="10.7109375" bestFit="1" customWidth="1"/>
    <col min="305" max="305" width="14" bestFit="1" customWidth="1"/>
    <col min="306" max="306" width="2" customWidth="1"/>
    <col min="307" max="313" width="3" customWidth="1"/>
    <col min="314" max="382" width="4" customWidth="1"/>
    <col min="383" max="383" width="17.28515625" bestFit="1" customWidth="1"/>
  </cols>
  <sheetData>
    <row r="1" spans="1:9" x14ac:dyDescent="0.25">
      <c r="A1" s="2" t="s">
        <v>1</v>
      </c>
      <c r="B1" t="s">
        <v>63</v>
      </c>
    </row>
    <row r="3" spans="1:9" x14ac:dyDescent="0.25">
      <c r="A3" s="2" t="s">
        <v>62</v>
      </c>
      <c r="B3" t="s">
        <v>66</v>
      </c>
      <c r="E3" s="2" t="s">
        <v>62</v>
      </c>
      <c r="F3" t="s">
        <v>66</v>
      </c>
    </row>
    <row r="4" spans="1:9" x14ac:dyDescent="0.25">
      <c r="A4" s="3" t="s">
        <v>64</v>
      </c>
      <c r="B4" s="1">
        <v>7.1493224932249237</v>
      </c>
      <c r="E4" s="3" t="s">
        <v>67</v>
      </c>
      <c r="F4" s="1">
        <v>6.5253521126760603</v>
      </c>
    </row>
    <row r="5" spans="1:9" x14ac:dyDescent="0.25">
      <c r="A5" s="3" t="s">
        <v>65</v>
      </c>
      <c r="B5" s="4">
        <v>5.8600000000000012</v>
      </c>
      <c r="E5" s="3" t="s">
        <v>68</v>
      </c>
      <c r="F5" s="1">
        <v>7.3484304932735354</v>
      </c>
    </row>
    <row r="6" spans="1:9" x14ac:dyDescent="0.25">
      <c r="E6" s="3" t="s">
        <v>69</v>
      </c>
      <c r="F6" s="1">
        <v>7.0674999999999972</v>
      </c>
    </row>
    <row r="8" spans="1:9" x14ac:dyDescent="0.25">
      <c r="A8" s="2" t="s">
        <v>76</v>
      </c>
      <c r="B8" s="2" t="s">
        <v>75</v>
      </c>
      <c r="F8" s="2" t="s">
        <v>76</v>
      </c>
      <c r="G8" s="2" t="s">
        <v>75</v>
      </c>
    </row>
    <row r="9" spans="1:9" x14ac:dyDescent="0.25">
      <c r="A9" s="2" t="s">
        <v>62</v>
      </c>
      <c r="B9" t="s">
        <v>19</v>
      </c>
      <c r="C9" t="s">
        <v>22</v>
      </c>
      <c r="D9" t="s">
        <v>15</v>
      </c>
      <c r="F9" s="2" t="s">
        <v>62</v>
      </c>
      <c r="G9" t="s">
        <v>25</v>
      </c>
      <c r="H9" t="s">
        <v>17</v>
      </c>
      <c r="I9" t="s">
        <v>24</v>
      </c>
    </row>
    <row r="10" spans="1:9" x14ac:dyDescent="0.25">
      <c r="A10" s="3" t="s">
        <v>71</v>
      </c>
      <c r="B10" s="4">
        <v>14</v>
      </c>
      <c r="C10" s="4">
        <v>4</v>
      </c>
      <c r="D10" s="4">
        <v>1</v>
      </c>
      <c r="F10" s="3">
        <v>3</v>
      </c>
      <c r="G10" s="4">
        <v>1</v>
      </c>
      <c r="H10" s="4">
        <v>40</v>
      </c>
      <c r="I10" s="4">
        <v>30</v>
      </c>
    </row>
    <row r="11" spans="1:9" x14ac:dyDescent="0.25">
      <c r="A11" s="3" t="s">
        <v>72</v>
      </c>
      <c r="B11" s="4">
        <v>130</v>
      </c>
      <c r="C11" s="4">
        <v>2</v>
      </c>
      <c r="D11" s="4">
        <v>10</v>
      </c>
      <c r="F11" s="3">
        <v>4</v>
      </c>
      <c r="G11" s="4">
        <v>24</v>
      </c>
      <c r="H11" s="4">
        <v>43</v>
      </c>
      <c r="I11" s="4">
        <v>3</v>
      </c>
    </row>
    <row r="12" spans="1:9" x14ac:dyDescent="0.25">
      <c r="A12" s="3" t="s">
        <v>73</v>
      </c>
      <c r="B12" s="4">
        <v>37</v>
      </c>
      <c r="C12" s="4">
        <v>4</v>
      </c>
      <c r="D12" s="4">
        <v>76</v>
      </c>
      <c r="F12" s="3">
        <v>5</v>
      </c>
      <c r="G12" s="4">
        <v>6</v>
      </c>
      <c r="H12" s="4">
        <v>57</v>
      </c>
      <c r="I12" s="4">
        <v>4</v>
      </c>
    </row>
    <row r="13" spans="1:9" x14ac:dyDescent="0.25">
      <c r="A13" s="3" t="s">
        <v>74</v>
      </c>
      <c r="B13" s="4">
        <v>35</v>
      </c>
      <c r="C13" s="4"/>
      <c r="D13" s="4">
        <v>61</v>
      </c>
      <c r="F13" s="3">
        <v>6</v>
      </c>
      <c r="G13" s="4">
        <v>2</v>
      </c>
      <c r="H13" s="4">
        <v>43</v>
      </c>
      <c r="I13" s="4">
        <v>1</v>
      </c>
    </row>
    <row r="14" spans="1:9" x14ac:dyDescent="0.25">
      <c r="F14" s="3">
        <v>7</v>
      </c>
      <c r="G14" s="4">
        <v>41</v>
      </c>
      <c r="H14" s="4">
        <v>3</v>
      </c>
      <c r="I14" s="4">
        <v>6</v>
      </c>
    </row>
    <row r="15" spans="1:9" x14ac:dyDescent="0.25">
      <c r="F15" s="3">
        <v>8</v>
      </c>
      <c r="G15" s="4">
        <v>3</v>
      </c>
      <c r="H15" s="4">
        <v>33</v>
      </c>
      <c r="I15" s="4">
        <v>34</v>
      </c>
    </row>
    <row r="17" spans="1:7" x14ac:dyDescent="0.25">
      <c r="A17" s="2" t="s">
        <v>76</v>
      </c>
      <c r="B17" s="2" t="s">
        <v>75</v>
      </c>
      <c r="F17" s="2" t="s">
        <v>62</v>
      </c>
      <c r="G17" t="s">
        <v>77</v>
      </c>
    </row>
    <row r="18" spans="1:7" x14ac:dyDescent="0.25">
      <c r="A18" s="2" t="s">
        <v>62</v>
      </c>
      <c r="B18" t="s">
        <v>19</v>
      </c>
      <c r="C18" t="s">
        <v>22</v>
      </c>
      <c r="D18" t="s">
        <v>15</v>
      </c>
      <c r="F18" s="3" t="s">
        <v>34</v>
      </c>
      <c r="G18" s="1">
        <v>4.5945945945945947</v>
      </c>
    </row>
    <row r="19" spans="1:7" x14ac:dyDescent="0.25">
      <c r="A19" s="3" t="s">
        <v>67</v>
      </c>
      <c r="B19" s="4">
        <v>3</v>
      </c>
      <c r="C19" s="4"/>
      <c r="D19" s="4">
        <v>68</v>
      </c>
      <c r="F19" s="3" t="s">
        <v>18</v>
      </c>
      <c r="G19" s="1">
        <v>6.732394366197183</v>
      </c>
    </row>
    <row r="20" spans="1:7" x14ac:dyDescent="0.25">
      <c r="A20" s="3" t="s">
        <v>68</v>
      </c>
      <c r="B20" s="4">
        <v>146</v>
      </c>
      <c r="C20" s="4">
        <v>6</v>
      </c>
      <c r="D20" s="4">
        <v>71</v>
      </c>
      <c r="F20" s="3" t="s">
        <v>33</v>
      </c>
      <c r="G20" s="1">
        <v>3.8888888888888888</v>
      </c>
    </row>
    <row r="21" spans="1:7" x14ac:dyDescent="0.25">
      <c r="A21" s="3" t="s">
        <v>69</v>
      </c>
      <c r="B21" s="4">
        <v>67</v>
      </c>
      <c r="C21" s="4">
        <v>4</v>
      </c>
      <c r="D21" s="4">
        <v>9</v>
      </c>
      <c r="F21" s="3" t="s">
        <v>41</v>
      </c>
      <c r="G21" s="1">
        <v>5.0638297872340425</v>
      </c>
    </row>
    <row r="22" spans="1:7" x14ac:dyDescent="0.25">
      <c r="F22" s="3" t="s">
        <v>52</v>
      </c>
      <c r="G22" s="1">
        <v>5</v>
      </c>
    </row>
    <row r="23" spans="1:7" x14ac:dyDescent="0.25">
      <c r="F23" s="3" t="s">
        <v>29</v>
      </c>
      <c r="G23" s="1">
        <v>5.5479452054794525</v>
      </c>
    </row>
    <row r="24" spans="1:7" x14ac:dyDescent="0.25">
      <c r="F24" s="3" t="s">
        <v>21</v>
      </c>
      <c r="G24" s="1">
        <v>8</v>
      </c>
    </row>
    <row r="25" spans="1:7" x14ac:dyDescent="0.25">
      <c r="F25" s="3" t="s">
        <v>49</v>
      </c>
      <c r="G25" s="1">
        <v>7</v>
      </c>
    </row>
    <row r="26" spans="1:7" x14ac:dyDescent="0.25">
      <c r="F26" s="3" t="s">
        <v>36</v>
      </c>
      <c r="G26" s="1">
        <v>7</v>
      </c>
    </row>
    <row r="27" spans="1:7" x14ac:dyDescent="0.25">
      <c r="F27" s="3" t="s">
        <v>14</v>
      </c>
      <c r="G27" s="1">
        <v>6</v>
      </c>
    </row>
    <row r="28" spans="1:7" x14ac:dyDescent="0.25">
      <c r="F28" s="3" t="s">
        <v>26</v>
      </c>
      <c r="G28" s="1">
        <v>4.5250000000000004</v>
      </c>
    </row>
  </sheetData>
  <pageMargins left="0.7" right="0.7" top="0.75" bottom="0.75" header="0.3" footer="0.3"/>
  <pageSetup orientation="portrait" verticalDpi="0"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T375"/>
  <sheetViews>
    <sheetView topLeftCell="H1" zoomScaleNormal="100" workbookViewId="0">
      <selection activeCell="O3" sqref="O3"/>
    </sheetView>
  </sheetViews>
  <sheetFormatPr defaultRowHeight="15" x14ac:dyDescent="0.25"/>
  <cols>
    <col min="4" max="4" width="18.5703125" customWidth="1"/>
    <col min="5" max="5" width="19.85546875" bestFit="1" customWidth="1"/>
    <col min="6" max="6" width="14.28515625" bestFit="1" customWidth="1"/>
    <col min="7" max="7" width="19.85546875" bestFit="1" customWidth="1"/>
    <col min="8" max="8" width="15.28515625" bestFit="1" customWidth="1"/>
    <col min="9" max="9" width="15.28515625" customWidth="1"/>
    <col min="10" max="10" width="20.7109375" bestFit="1" customWidth="1"/>
    <col min="11" max="11" width="20.7109375" customWidth="1"/>
    <col min="12" max="12" width="23.7109375" customWidth="1"/>
    <col min="13" max="13" width="11.42578125" bestFit="1" customWidth="1"/>
    <col min="14" max="14" width="14.5703125" bestFit="1" customWidth="1"/>
    <col min="15" max="15" width="14.42578125" bestFit="1" customWidth="1"/>
    <col min="16" max="16" width="10.28515625" bestFit="1" customWidth="1"/>
    <col min="17" max="17" width="10.7109375" bestFit="1" customWidth="1"/>
    <col min="18" max="18" width="22.5703125" customWidth="1"/>
    <col min="19" max="19" width="20" customWidth="1"/>
  </cols>
  <sheetData>
    <row r="1" spans="1:20" x14ac:dyDescent="0.25">
      <c r="A1" t="s">
        <v>0</v>
      </c>
      <c r="B1" t="s">
        <v>1</v>
      </c>
      <c r="C1" t="s">
        <v>2</v>
      </c>
      <c r="D1" t="s">
        <v>70</v>
      </c>
      <c r="E1" t="s">
        <v>3</v>
      </c>
      <c r="F1" t="s">
        <v>4</v>
      </c>
      <c r="G1" t="s">
        <v>57</v>
      </c>
      <c r="H1" t="s">
        <v>5</v>
      </c>
      <c r="I1" t="s">
        <v>61</v>
      </c>
      <c r="J1" t="s">
        <v>6</v>
      </c>
      <c r="K1" t="s">
        <v>58</v>
      </c>
      <c r="L1" t="s">
        <v>59</v>
      </c>
      <c r="M1" t="s">
        <v>7</v>
      </c>
      <c r="N1" t="s">
        <v>8</v>
      </c>
      <c r="O1" t="s">
        <v>9</v>
      </c>
      <c r="P1" t="s">
        <v>10</v>
      </c>
      <c r="Q1" t="s">
        <v>11</v>
      </c>
      <c r="R1" t="s">
        <v>60</v>
      </c>
      <c r="S1" t="s">
        <v>12</v>
      </c>
    </row>
    <row r="2" spans="1:20" x14ac:dyDescent="0.25">
      <c r="A2">
        <v>1</v>
      </c>
      <c r="B2" t="s">
        <v>13</v>
      </c>
      <c r="C2">
        <v>27</v>
      </c>
      <c r="D2" t="str">
        <f>IF(C2&lt;=29,"20's",(IF(C2&lt;=39,"30's",(IF(C2&lt;=49,"40's","50's")))))</f>
        <v>20's</v>
      </c>
      <c r="E2" t="s">
        <v>14</v>
      </c>
      <c r="F2">
        <v>6.1</v>
      </c>
      <c r="G2" t="str">
        <f>IF(F2&lt;6,"Very low",(IF(F2&gt;=7,"Good","Low")))</f>
        <v>Low</v>
      </c>
      <c r="H2">
        <v>6</v>
      </c>
      <c r="I2" t="str">
        <f>IF(H2&gt;=5,"Good","Poor")</f>
        <v>Good</v>
      </c>
      <c r="J2">
        <v>42</v>
      </c>
      <c r="K2" s="1">
        <f>J2/24</f>
        <v>1.75</v>
      </c>
      <c r="L2" s="1" t="str">
        <f>IF(K2&lt;=1.7,"Sedentary",(IF(K2&gt;=2,"Highly Active","Active")))</f>
        <v>Active</v>
      </c>
      <c r="M2">
        <v>6</v>
      </c>
      <c r="N2" t="s">
        <v>15</v>
      </c>
      <c r="O2" t="s">
        <v>16</v>
      </c>
      <c r="P2">
        <v>77</v>
      </c>
      <c r="Q2">
        <v>4200</v>
      </c>
      <c r="R2" t="str">
        <f>IF(Q2=10000,"Steps Achieved",(IF(Q2&gt;=5000,"Half Achieved","Partially Achieved")))</f>
        <v>Partially Achieved</v>
      </c>
      <c r="S2" t="s">
        <v>17</v>
      </c>
    </row>
    <row r="3" spans="1:20" x14ac:dyDescent="0.25">
      <c r="A3">
        <v>2</v>
      </c>
      <c r="B3" t="s">
        <v>13</v>
      </c>
      <c r="C3">
        <v>28</v>
      </c>
      <c r="D3" t="str">
        <f t="shared" ref="D3:D66" si="0">IF(C3&lt;=29,"20's",(IF(C3&lt;=39,"30's",(IF(C3&lt;=49,"40's","50's")))))</f>
        <v>20's</v>
      </c>
      <c r="E3" t="s">
        <v>18</v>
      </c>
      <c r="F3">
        <v>6.2</v>
      </c>
      <c r="G3" t="str">
        <f t="shared" ref="G3:G66" si="1">IF(F3&lt;6,"Very low",(IF(F3&gt;=7,"Good","Low")))</f>
        <v>Low</v>
      </c>
      <c r="H3">
        <v>6</v>
      </c>
      <c r="I3" t="str">
        <f t="shared" ref="I3:I66" si="2">IF(H3&gt;=5,"Good","Poor")</f>
        <v>Good</v>
      </c>
      <c r="J3">
        <v>60</v>
      </c>
      <c r="K3" s="1">
        <f t="shared" ref="K3:K66" si="3">J3/24</f>
        <v>2.5</v>
      </c>
      <c r="L3" s="1" t="str">
        <f t="shared" ref="L3:L66" si="4">IF(K3&lt;=1.7,"Sedentary",(IF(K3&gt;=2,"Highly Active","Active")))</f>
        <v>Highly Active</v>
      </c>
      <c r="M3">
        <v>8</v>
      </c>
      <c r="N3" t="s">
        <v>19</v>
      </c>
      <c r="O3" t="s">
        <v>20</v>
      </c>
      <c r="P3">
        <v>75</v>
      </c>
      <c r="Q3">
        <v>10000</v>
      </c>
      <c r="R3" t="str">
        <f t="shared" ref="R3:R66" si="5">IF(Q3=10000,"Steps Achieved",(IF(Q3&gt;=5000,"Half Achieved","Partially Achieved")))</f>
        <v>Steps Achieved</v>
      </c>
      <c r="S3" t="s">
        <v>17</v>
      </c>
      <c r="T3" s="1"/>
    </row>
    <row r="4" spans="1:20" x14ac:dyDescent="0.25">
      <c r="A4">
        <v>3</v>
      </c>
      <c r="B4" t="s">
        <v>13</v>
      </c>
      <c r="C4">
        <v>28</v>
      </c>
      <c r="D4" t="str">
        <f t="shared" si="0"/>
        <v>20's</v>
      </c>
      <c r="E4" t="s">
        <v>18</v>
      </c>
      <c r="F4">
        <v>6.2</v>
      </c>
      <c r="G4" t="str">
        <f t="shared" si="1"/>
        <v>Low</v>
      </c>
      <c r="H4">
        <v>6</v>
      </c>
      <c r="I4" t="str">
        <f t="shared" si="2"/>
        <v>Good</v>
      </c>
      <c r="J4">
        <v>60</v>
      </c>
      <c r="K4" s="1">
        <f t="shared" si="3"/>
        <v>2.5</v>
      </c>
      <c r="L4" s="1" t="str">
        <f t="shared" si="4"/>
        <v>Highly Active</v>
      </c>
      <c r="M4">
        <v>8</v>
      </c>
      <c r="N4" t="s">
        <v>19</v>
      </c>
      <c r="O4" t="s">
        <v>20</v>
      </c>
      <c r="P4">
        <v>75</v>
      </c>
      <c r="Q4">
        <v>10000</v>
      </c>
      <c r="R4" t="str">
        <f t="shared" si="5"/>
        <v>Steps Achieved</v>
      </c>
      <c r="S4" t="s">
        <v>17</v>
      </c>
    </row>
    <row r="5" spans="1:20" x14ac:dyDescent="0.25">
      <c r="A5">
        <v>4</v>
      </c>
      <c r="B5" t="s">
        <v>13</v>
      </c>
      <c r="C5">
        <v>28</v>
      </c>
      <c r="D5" t="str">
        <f t="shared" si="0"/>
        <v>20's</v>
      </c>
      <c r="E5" t="s">
        <v>21</v>
      </c>
      <c r="F5">
        <v>5.9</v>
      </c>
      <c r="G5" t="str">
        <f t="shared" si="1"/>
        <v>Very low</v>
      </c>
      <c r="H5">
        <v>4</v>
      </c>
      <c r="I5" t="str">
        <f t="shared" si="2"/>
        <v>Poor</v>
      </c>
      <c r="J5">
        <v>30</v>
      </c>
      <c r="K5" s="1">
        <f t="shared" si="3"/>
        <v>1.25</v>
      </c>
      <c r="L5" s="1" t="str">
        <f t="shared" si="4"/>
        <v>Sedentary</v>
      </c>
      <c r="M5">
        <v>8</v>
      </c>
      <c r="N5" t="s">
        <v>22</v>
      </c>
      <c r="O5" t="s">
        <v>23</v>
      </c>
      <c r="P5">
        <v>85</v>
      </c>
      <c r="Q5">
        <v>3000</v>
      </c>
      <c r="R5" t="str">
        <f t="shared" si="5"/>
        <v>Partially Achieved</v>
      </c>
      <c r="S5" t="s">
        <v>24</v>
      </c>
    </row>
    <row r="6" spans="1:20" x14ac:dyDescent="0.25">
      <c r="A6">
        <v>5</v>
      </c>
      <c r="B6" t="s">
        <v>13</v>
      </c>
      <c r="C6">
        <v>28</v>
      </c>
      <c r="D6" t="str">
        <f t="shared" si="0"/>
        <v>20's</v>
      </c>
      <c r="E6" t="s">
        <v>21</v>
      </c>
      <c r="F6">
        <v>5.9</v>
      </c>
      <c r="G6" t="str">
        <f t="shared" si="1"/>
        <v>Very low</v>
      </c>
      <c r="H6">
        <v>4</v>
      </c>
      <c r="I6" t="str">
        <f t="shared" si="2"/>
        <v>Poor</v>
      </c>
      <c r="J6">
        <v>30</v>
      </c>
      <c r="K6" s="1">
        <f t="shared" si="3"/>
        <v>1.25</v>
      </c>
      <c r="L6" s="1" t="str">
        <f t="shared" si="4"/>
        <v>Sedentary</v>
      </c>
      <c r="M6">
        <v>8</v>
      </c>
      <c r="N6" t="s">
        <v>22</v>
      </c>
      <c r="O6" t="s">
        <v>23</v>
      </c>
      <c r="P6">
        <v>85</v>
      </c>
      <c r="Q6">
        <v>3000</v>
      </c>
      <c r="R6" t="str">
        <f t="shared" si="5"/>
        <v>Partially Achieved</v>
      </c>
      <c r="S6" t="s">
        <v>24</v>
      </c>
    </row>
    <row r="7" spans="1:20" x14ac:dyDescent="0.25">
      <c r="A7">
        <v>6</v>
      </c>
      <c r="B7" t="s">
        <v>13</v>
      </c>
      <c r="C7">
        <v>28</v>
      </c>
      <c r="D7" t="str">
        <f t="shared" si="0"/>
        <v>20's</v>
      </c>
      <c r="E7" t="s">
        <v>14</v>
      </c>
      <c r="F7">
        <v>5.9</v>
      </c>
      <c r="G7" t="str">
        <f t="shared" si="1"/>
        <v>Very low</v>
      </c>
      <c r="H7">
        <v>4</v>
      </c>
      <c r="I7" t="str">
        <f t="shared" si="2"/>
        <v>Poor</v>
      </c>
      <c r="J7">
        <v>30</v>
      </c>
      <c r="K7" s="1">
        <f t="shared" si="3"/>
        <v>1.25</v>
      </c>
      <c r="L7" s="1" t="str">
        <f t="shared" si="4"/>
        <v>Sedentary</v>
      </c>
      <c r="M7">
        <v>8</v>
      </c>
      <c r="N7" t="s">
        <v>22</v>
      </c>
      <c r="O7" t="s">
        <v>23</v>
      </c>
      <c r="P7">
        <v>85</v>
      </c>
      <c r="Q7">
        <v>3000</v>
      </c>
      <c r="R7" t="str">
        <f t="shared" si="5"/>
        <v>Partially Achieved</v>
      </c>
      <c r="S7" t="s">
        <v>25</v>
      </c>
    </row>
    <row r="8" spans="1:20" x14ac:dyDescent="0.25">
      <c r="A8">
        <v>7</v>
      </c>
      <c r="B8" t="s">
        <v>13</v>
      </c>
      <c r="C8">
        <v>29</v>
      </c>
      <c r="D8" t="str">
        <f t="shared" si="0"/>
        <v>20's</v>
      </c>
      <c r="E8" t="s">
        <v>26</v>
      </c>
      <c r="F8">
        <v>6.3</v>
      </c>
      <c r="G8" t="str">
        <f t="shared" si="1"/>
        <v>Low</v>
      </c>
      <c r="H8">
        <v>6</v>
      </c>
      <c r="I8" t="str">
        <f t="shared" si="2"/>
        <v>Good</v>
      </c>
      <c r="J8">
        <v>40</v>
      </c>
      <c r="K8" s="1">
        <f t="shared" si="3"/>
        <v>1.6666666666666667</v>
      </c>
      <c r="L8" s="1" t="str">
        <f t="shared" si="4"/>
        <v>Sedentary</v>
      </c>
      <c r="M8">
        <v>7</v>
      </c>
      <c r="N8" t="s">
        <v>22</v>
      </c>
      <c r="O8" t="s">
        <v>23</v>
      </c>
      <c r="P8">
        <v>82</v>
      </c>
      <c r="Q8">
        <v>3500</v>
      </c>
      <c r="R8" t="str">
        <f t="shared" si="5"/>
        <v>Partially Achieved</v>
      </c>
      <c r="S8" t="s">
        <v>25</v>
      </c>
    </row>
    <row r="9" spans="1:20" x14ac:dyDescent="0.25">
      <c r="A9">
        <v>8</v>
      </c>
      <c r="B9" t="s">
        <v>13</v>
      </c>
      <c r="C9">
        <v>29</v>
      </c>
      <c r="D9" t="str">
        <f t="shared" si="0"/>
        <v>20's</v>
      </c>
      <c r="E9" t="s">
        <v>18</v>
      </c>
      <c r="F9">
        <v>7.8</v>
      </c>
      <c r="G9" t="str">
        <f t="shared" si="1"/>
        <v>Good</v>
      </c>
      <c r="H9">
        <v>7</v>
      </c>
      <c r="I9" t="str">
        <f t="shared" si="2"/>
        <v>Good</v>
      </c>
      <c r="J9">
        <v>75</v>
      </c>
      <c r="K9" s="1">
        <f t="shared" si="3"/>
        <v>3.125</v>
      </c>
      <c r="L9" s="1" t="str">
        <f t="shared" si="4"/>
        <v>Highly Active</v>
      </c>
      <c r="M9">
        <v>6</v>
      </c>
      <c r="N9" t="s">
        <v>19</v>
      </c>
      <c r="O9" t="s">
        <v>27</v>
      </c>
      <c r="P9">
        <v>70</v>
      </c>
      <c r="Q9">
        <v>8000</v>
      </c>
      <c r="R9" t="str">
        <f t="shared" si="5"/>
        <v>Half Achieved</v>
      </c>
      <c r="S9" t="s">
        <v>17</v>
      </c>
    </row>
    <row r="10" spans="1:20" x14ac:dyDescent="0.25">
      <c r="A10">
        <v>9</v>
      </c>
      <c r="B10" t="s">
        <v>13</v>
      </c>
      <c r="C10">
        <v>29</v>
      </c>
      <c r="D10" t="str">
        <f t="shared" si="0"/>
        <v>20's</v>
      </c>
      <c r="E10" t="s">
        <v>18</v>
      </c>
      <c r="F10">
        <v>7.8</v>
      </c>
      <c r="G10" t="str">
        <f t="shared" si="1"/>
        <v>Good</v>
      </c>
      <c r="H10">
        <v>7</v>
      </c>
      <c r="I10" t="str">
        <f t="shared" si="2"/>
        <v>Good</v>
      </c>
      <c r="J10">
        <v>75</v>
      </c>
      <c r="K10" s="1">
        <f t="shared" si="3"/>
        <v>3.125</v>
      </c>
      <c r="L10" s="1" t="str">
        <f t="shared" si="4"/>
        <v>Highly Active</v>
      </c>
      <c r="M10">
        <v>6</v>
      </c>
      <c r="N10" t="s">
        <v>19</v>
      </c>
      <c r="O10" t="s">
        <v>27</v>
      </c>
      <c r="P10">
        <v>70</v>
      </c>
      <c r="Q10">
        <v>8000</v>
      </c>
      <c r="R10" t="str">
        <f t="shared" si="5"/>
        <v>Half Achieved</v>
      </c>
      <c r="S10" t="s">
        <v>17</v>
      </c>
    </row>
    <row r="11" spans="1:20" x14ac:dyDescent="0.25">
      <c r="A11">
        <v>10</v>
      </c>
      <c r="B11" t="s">
        <v>13</v>
      </c>
      <c r="C11">
        <v>29</v>
      </c>
      <c r="D11" t="str">
        <f t="shared" si="0"/>
        <v>20's</v>
      </c>
      <c r="E11" t="s">
        <v>18</v>
      </c>
      <c r="F11">
        <v>7.8</v>
      </c>
      <c r="G11" t="str">
        <f t="shared" si="1"/>
        <v>Good</v>
      </c>
      <c r="H11">
        <v>7</v>
      </c>
      <c r="I11" t="str">
        <f t="shared" si="2"/>
        <v>Good</v>
      </c>
      <c r="J11">
        <v>75</v>
      </c>
      <c r="K11" s="1">
        <f t="shared" si="3"/>
        <v>3.125</v>
      </c>
      <c r="L11" s="1" t="str">
        <f t="shared" si="4"/>
        <v>Highly Active</v>
      </c>
      <c r="M11">
        <v>6</v>
      </c>
      <c r="N11" t="s">
        <v>19</v>
      </c>
      <c r="O11" t="s">
        <v>27</v>
      </c>
      <c r="P11">
        <v>70</v>
      </c>
      <c r="Q11">
        <v>8000</v>
      </c>
      <c r="R11" t="str">
        <f t="shared" si="5"/>
        <v>Half Achieved</v>
      </c>
      <c r="S11" t="s">
        <v>17</v>
      </c>
    </row>
    <row r="12" spans="1:20" x14ac:dyDescent="0.25">
      <c r="A12">
        <v>11</v>
      </c>
      <c r="B12" t="s">
        <v>13</v>
      </c>
      <c r="C12">
        <v>29</v>
      </c>
      <c r="D12" t="str">
        <f t="shared" si="0"/>
        <v>20's</v>
      </c>
      <c r="E12" t="s">
        <v>18</v>
      </c>
      <c r="F12">
        <v>6.1</v>
      </c>
      <c r="G12" t="str">
        <f t="shared" si="1"/>
        <v>Low</v>
      </c>
      <c r="H12">
        <v>6</v>
      </c>
      <c r="I12" t="str">
        <f t="shared" si="2"/>
        <v>Good</v>
      </c>
      <c r="J12">
        <v>30</v>
      </c>
      <c r="K12" s="1">
        <f t="shared" si="3"/>
        <v>1.25</v>
      </c>
      <c r="L12" s="1" t="str">
        <f t="shared" si="4"/>
        <v>Sedentary</v>
      </c>
      <c r="M12">
        <v>8</v>
      </c>
      <c r="N12" t="s">
        <v>19</v>
      </c>
      <c r="O12" t="s">
        <v>27</v>
      </c>
      <c r="P12">
        <v>70</v>
      </c>
      <c r="Q12">
        <v>8000</v>
      </c>
      <c r="R12" t="str">
        <f t="shared" si="5"/>
        <v>Half Achieved</v>
      </c>
      <c r="S12" t="s">
        <v>17</v>
      </c>
    </row>
    <row r="13" spans="1:20" x14ac:dyDescent="0.25">
      <c r="A13">
        <v>12</v>
      </c>
      <c r="B13" t="s">
        <v>13</v>
      </c>
      <c r="C13">
        <v>29</v>
      </c>
      <c r="D13" t="str">
        <f>IF(C13&lt;=29,"20's",(IF(C13&lt;=39,"30's",(IF(C13&lt;=49,"40's","50's")))))</f>
        <v>20's</v>
      </c>
      <c r="E13" t="s">
        <v>18</v>
      </c>
      <c r="F13">
        <v>7.8</v>
      </c>
      <c r="G13" t="str">
        <f t="shared" si="1"/>
        <v>Good</v>
      </c>
      <c r="H13">
        <v>7</v>
      </c>
      <c r="I13" t="str">
        <f t="shared" si="2"/>
        <v>Good</v>
      </c>
      <c r="J13">
        <v>75</v>
      </c>
      <c r="K13" s="1">
        <f t="shared" si="3"/>
        <v>3.125</v>
      </c>
      <c r="L13" s="1" t="str">
        <f t="shared" si="4"/>
        <v>Highly Active</v>
      </c>
      <c r="M13">
        <v>6</v>
      </c>
      <c r="N13" t="s">
        <v>19</v>
      </c>
      <c r="O13" t="s">
        <v>27</v>
      </c>
      <c r="P13">
        <v>70</v>
      </c>
      <c r="Q13">
        <v>8000</v>
      </c>
      <c r="R13" t="str">
        <f t="shared" si="5"/>
        <v>Half Achieved</v>
      </c>
      <c r="S13" t="s">
        <v>17</v>
      </c>
    </row>
    <row r="14" spans="1:20" x14ac:dyDescent="0.25">
      <c r="A14">
        <v>13</v>
      </c>
      <c r="B14" t="s">
        <v>13</v>
      </c>
      <c r="C14">
        <v>29</v>
      </c>
      <c r="D14" t="str">
        <f t="shared" si="0"/>
        <v>20's</v>
      </c>
      <c r="E14" t="s">
        <v>18</v>
      </c>
      <c r="F14">
        <v>6.1</v>
      </c>
      <c r="G14" t="str">
        <f t="shared" si="1"/>
        <v>Low</v>
      </c>
      <c r="H14">
        <v>6</v>
      </c>
      <c r="I14" t="str">
        <f t="shared" si="2"/>
        <v>Good</v>
      </c>
      <c r="J14">
        <v>30</v>
      </c>
      <c r="K14" s="1">
        <f t="shared" si="3"/>
        <v>1.25</v>
      </c>
      <c r="L14" s="1" t="str">
        <f t="shared" si="4"/>
        <v>Sedentary</v>
      </c>
      <c r="M14">
        <v>8</v>
      </c>
      <c r="N14" t="s">
        <v>19</v>
      </c>
      <c r="O14" t="s">
        <v>27</v>
      </c>
      <c r="P14">
        <v>70</v>
      </c>
      <c r="Q14">
        <v>8000</v>
      </c>
      <c r="R14" t="str">
        <f t="shared" si="5"/>
        <v>Half Achieved</v>
      </c>
      <c r="S14" t="s">
        <v>17</v>
      </c>
    </row>
    <row r="15" spans="1:20" x14ac:dyDescent="0.25">
      <c r="A15">
        <v>14</v>
      </c>
      <c r="B15" t="s">
        <v>13</v>
      </c>
      <c r="C15">
        <v>29</v>
      </c>
      <c r="D15" t="str">
        <f t="shared" si="0"/>
        <v>20's</v>
      </c>
      <c r="E15" t="s">
        <v>18</v>
      </c>
      <c r="F15">
        <v>6</v>
      </c>
      <c r="G15" t="str">
        <f t="shared" si="1"/>
        <v>Low</v>
      </c>
      <c r="H15">
        <v>6</v>
      </c>
      <c r="I15" t="str">
        <f t="shared" si="2"/>
        <v>Good</v>
      </c>
      <c r="J15">
        <v>30</v>
      </c>
      <c r="K15" s="1">
        <f t="shared" si="3"/>
        <v>1.25</v>
      </c>
      <c r="L15" s="1" t="str">
        <f t="shared" si="4"/>
        <v>Sedentary</v>
      </c>
      <c r="M15">
        <v>8</v>
      </c>
      <c r="N15" t="s">
        <v>19</v>
      </c>
      <c r="O15" t="s">
        <v>27</v>
      </c>
      <c r="P15">
        <v>70</v>
      </c>
      <c r="Q15">
        <v>8000</v>
      </c>
      <c r="R15" t="str">
        <f t="shared" si="5"/>
        <v>Half Achieved</v>
      </c>
      <c r="S15" t="s">
        <v>17</v>
      </c>
    </row>
    <row r="16" spans="1:20" x14ac:dyDescent="0.25">
      <c r="A16">
        <v>15</v>
      </c>
      <c r="B16" t="s">
        <v>13</v>
      </c>
      <c r="C16">
        <v>29</v>
      </c>
      <c r="D16" t="str">
        <f t="shared" si="0"/>
        <v>20's</v>
      </c>
      <c r="E16" t="s">
        <v>18</v>
      </c>
      <c r="F16">
        <v>6</v>
      </c>
      <c r="G16" t="str">
        <f t="shared" si="1"/>
        <v>Low</v>
      </c>
      <c r="H16">
        <v>6</v>
      </c>
      <c r="I16" t="str">
        <f t="shared" si="2"/>
        <v>Good</v>
      </c>
      <c r="J16">
        <v>30</v>
      </c>
      <c r="K16" s="1">
        <f t="shared" si="3"/>
        <v>1.25</v>
      </c>
      <c r="L16" s="1" t="str">
        <f t="shared" si="4"/>
        <v>Sedentary</v>
      </c>
      <c r="M16">
        <v>8</v>
      </c>
      <c r="N16" t="s">
        <v>19</v>
      </c>
      <c r="O16" t="s">
        <v>27</v>
      </c>
      <c r="P16">
        <v>70</v>
      </c>
      <c r="Q16">
        <v>8000</v>
      </c>
      <c r="R16" t="str">
        <f t="shared" si="5"/>
        <v>Half Achieved</v>
      </c>
      <c r="S16" t="s">
        <v>17</v>
      </c>
    </row>
    <row r="17" spans="1:19" x14ac:dyDescent="0.25">
      <c r="A17">
        <v>16</v>
      </c>
      <c r="B17" t="s">
        <v>13</v>
      </c>
      <c r="C17">
        <v>29</v>
      </c>
      <c r="D17" t="str">
        <f t="shared" si="0"/>
        <v>20's</v>
      </c>
      <c r="E17" t="s">
        <v>18</v>
      </c>
      <c r="F17">
        <v>6</v>
      </c>
      <c r="G17" t="str">
        <f t="shared" si="1"/>
        <v>Low</v>
      </c>
      <c r="H17">
        <v>6</v>
      </c>
      <c r="I17" t="str">
        <f t="shared" si="2"/>
        <v>Good</v>
      </c>
      <c r="J17">
        <v>30</v>
      </c>
      <c r="K17" s="1">
        <f t="shared" si="3"/>
        <v>1.25</v>
      </c>
      <c r="L17" s="1" t="str">
        <f t="shared" si="4"/>
        <v>Sedentary</v>
      </c>
      <c r="M17">
        <v>8</v>
      </c>
      <c r="N17" t="s">
        <v>19</v>
      </c>
      <c r="O17" t="s">
        <v>27</v>
      </c>
      <c r="P17">
        <v>70</v>
      </c>
      <c r="Q17">
        <v>8000</v>
      </c>
      <c r="R17" t="str">
        <f t="shared" si="5"/>
        <v>Half Achieved</v>
      </c>
      <c r="S17" t="s">
        <v>17</v>
      </c>
    </row>
    <row r="18" spans="1:19" x14ac:dyDescent="0.25">
      <c r="A18">
        <v>17</v>
      </c>
      <c r="B18" t="s">
        <v>28</v>
      </c>
      <c r="C18">
        <v>29</v>
      </c>
      <c r="D18" t="str">
        <f t="shared" si="0"/>
        <v>20's</v>
      </c>
      <c r="E18" t="s">
        <v>29</v>
      </c>
      <c r="F18">
        <v>6.5</v>
      </c>
      <c r="G18" t="str">
        <f t="shared" si="1"/>
        <v>Low</v>
      </c>
      <c r="H18">
        <v>5</v>
      </c>
      <c r="I18" t="str">
        <f t="shared" si="2"/>
        <v>Good</v>
      </c>
      <c r="J18">
        <v>40</v>
      </c>
      <c r="K18" s="1">
        <f t="shared" si="3"/>
        <v>1.6666666666666667</v>
      </c>
      <c r="L18" s="1" t="str">
        <f t="shared" si="4"/>
        <v>Sedentary</v>
      </c>
      <c r="M18">
        <v>7</v>
      </c>
      <c r="N18" t="s">
        <v>19</v>
      </c>
      <c r="O18" t="s">
        <v>30</v>
      </c>
      <c r="P18">
        <v>80</v>
      </c>
      <c r="Q18">
        <v>4000</v>
      </c>
      <c r="R18" t="str">
        <f t="shared" si="5"/>
        <v>Partially Achieved</v>
      </c>
      <c r="S18" t="s">
        <v>24</v>
      </c>
    </row>
    <row r="19" spans="1:19" x14ac:dyDescent="0.25">
      <c r="A19">
        <v>18</v>
      </c>
      <c r="B19" t="s">
        <v>13</v>
      </c>
      <c r="C19">
        <v>29</v>
      </c>
      <c r="D19" t="str">
        <f t="shared" si="0"/>
        <v>20's</v>
      </c>
      <c r="E19" t="s">
        <v>18</v>
      </c>
      <c r="F19">
        <v>6</v>
      </c>
      <c r="G19" t="str">
        <f t="shared" si="1"/>
        <v>Low</v>
      </c>
      <c r="H19">
        <v>6</v>
      </c>
      <c r="I19" t="str">
        <f t="shared" si="2"/>
        <v>Good</v>
      </c>
      <c r="J19">
        <v>30</v>
      </c>
      <c r="K19" s="1">
        <f t="shared" si="3"/>
        <v>1.25</v>
      </c>
      <c r="L19" s="1" t="str">
        <f t="shared" si="4"/>
        <v>Sedentary</v>
      </c>
      <c r="M19">
        <v>8</v>
      </c>
      <c r="N19" t="s">
        <v>19</v>
      </c>
      <c r="O19" t="s">
        <v>27</v>
      </c>
      <c r="P19">
        <v>70</v>
      </c>
      <c r="Q19">
        <v>8000</v>
      </c>
      <c r="R19" t="str">
        <f t="shared" si="5"/>
        <v>Half Achieved</v>
      </c>
      <c r="S19" t="s">
        <v>24</v>
      </c>
    </row>
    <row r="20" spans="1:19" x14ac:dyDescent="0.25">
      <c r="A20">
        <v>19</v>
      </c>
      <c r="B20" t="s">
        <v>28</v>
      </c>
      <c r="C20">
        <v>29</v>
      </c>
      <c r="D20" t="str">
        <f t="shared" si="0"/>
        <v>20's</v>
      </c>
      <c r="E20" t="s">
        <v>29</v>
      </c>
      <c r="F20">
        <v>6.5</v>
      </c>
      <c r="G20" t="str">
        <f t="shared" si="1"/>
        <v>Low</v>
      </c>
      <c r="H20">
        <v>5</v>
      </c>
      <c r="I20" t="str">
        <f t="shared" si="2"/>
        <v>Good</v>
      </c>
      <c r="J20">
        <v>40</v>
      </c>
      <c r="K20" s="1">
        <f t="shared" si="3"/>
        <v>1.6666666666666667</v>
      </c>
      <c r="L20" s="1" t="str">
        <f t="shared" si="4"/>
        <v>Sedentary</v>
      </c>
      <c r="M20">
        <v>7</v>
      </c>
      <c r="N20" t="s">
        <v>19</v>
      </c>
      <c r="O20" t="s">
        <v>30</v>
      </c>
      <c r="P20">
        <v>80</v>
      </c>
      <c r="Q20">
        <v>4000</v>
      </c>
      <c r="R20" t="str">
        <f t="shared" si="5"/>
        <v>Partially Achieved</v>
      </c>
      <c r="S20" t="s">
        <v>25</v>
      </c>
    </row>
    <row r="21" spans="1:19" x14ac:dyDescent="0.25">
      <c r="A21">
        <v>20</v>
      </c>
      <c r="B21" t="s">
        <v>13</v>
      </c>
      <c r="C21">
        <v>30</v>
      </c>
      <c r="D21" t="str">
        <f t="shared" si="0"/>
        <v>30's</v>
      </c>
      <c r="E21" t="s">
        <v>18</v>
      </c>
      <c r="F21">
        <v>7.6</v>
      </c>
      <c r="G21" t="str">
        <f t="shared" si="1"/>
        <v>Good</v>
      </c>
      <c r="H21">
        <v>7</v>
      </c>
      <c r="I21" t="str">
        <f t="shared" si="2"/>
        <v>Good</v>
      </c>
      <c r="J21">
        <v>75</v>
      </c>
      <c r="K21" s="1">
        <f t="shared" si="3"/>
        <v>3.125</v>
      </c>
      <c r="L21" s="1" t="str">
        <f t="shared" si="4"/>
        <v>Highly Active</v>
      </c>
      <c r="M21">
        <v>6</v>
      </c>
      <c r="N21" t="s">
        <v>19</v>
      </c>
      <c r="O21" t="s">
        <v>27</v>
      </c>
      <c r="P21">
        <v>70</v>
      </c>
      <c r="Q21">
        <v>8000</v>
      </c>
      <c r="R21" t="str">
        <f t="shared" si="5"/>
        <v>Half Achieved</v>
      </c>
      <c r="S21" t="s">
        <v>17</v>
      </c>
    </row>
    <row r="22" spans="1:19" x14ac:dyDescent="0.25">
      <c r="A22">
        <v>21</v>
      </c>
      <c r="B22" t="s">
        <v>13</v>
      </c>
      <c r="C22">
        <v>30</v>
      </c>
      <c r="D22" t="str">
        <f t="shared" si="0"/>
        <v>30's</v>
      </c>
      <c r="E22" t="s">
        <v>18</v>
      </c>
      <c r="F22">
        <v>7.7</v>
      </c>
      <c r="G22" t="str">
        <f t="shared" si="1"/>
        <v>Good</v>
      </c>
      <c r="H22">
        <v>7</v>
      </c>
      <c r="I22" t="str">
        <f t="shared" si="2"/>
        <v>Good</v>
      </c>
      <c r="J22">
        <v>75</v>
      </c>
      <c r="K22" s="1">
        <f t="shared" si="3"/>
        <v>3.125</v>
      </c>
      <c r="L22" s="1" t="str">
        <f t="shared" si="4"/>
        <v>Highly Active</v>
      </c>
      <c r="M22">
        <v>6</v>
      </c>
      <c r="N22" t="s">
        <v>19</v>
      </c>
      <c r="O22" t="s">
        <v>27</v>
      </c>
      <c r="P22">
        <v>70</v>
      </c>
      <c r="Q22">
        <v>8000</v>
      </c>
      <c r="R22" t="str">
        <f t="shared" si="5"/>
        <v>Half Achieved</v>
      </c>
      <c r="S22" t="s">
        <v>17</v>
      </c>
    </row>
    <row r="23" spans="1:19" x14ac:dyDescent="0.25">
      <c r="A23">
        <v>22</v>
      </c>
      <c r="B23" t="s">
        <v>13</v>
      </c>
      <c r="C23">
        <v>30</v>
      </c>
      <c r="D23" t="str">
        <f t="shared" si="0"/>
        <v>30's</v>
      </c>
      <c r="E23" t="s">
        <v>18</v>
      </c>
      <c r="F23">
        <v>7.7</v>
      </c>
      <c r="G23" t="str">
        <f t="shared" si="1"/>
        <v>Good</v>
      </c>
      <c r="H23">
        <v>7</v>
      </c>
      <c r="I23" t="str">
        <f t="shared" si="2"/>
        <v>Good</v>
      </c>
      <c r="J23">
        <v>75</v>
      </c>
      <c r="K23" s="1">
        <f t="shared" si="3"/>
        <v>3.125</v>
      </c>
      <c r="L23" s="1" t="str">
        <f t="shared" si="4"/>
        <v>Highly Active</v>
      </c>
      <c r="M23">
        <v>6</v>
      </c>
      <c r="N23" t="s">
        <v>19</v>
      </c>
      <c r="O23" t="s">
        <v>27</v>
      </c>
      <c r="P23">
        <v>70</v>
      </c>
      <c r="Q23">
        <v>8000</v>
      </c>
      <c r="R23" t="str">
        <f t="shared" si="5"/>
        <v>Half Achieved</v>
      </c>
      <c r="S23" t="s">
        <v>17</v>
      </c>
    </row>
    <row r="24" spans="1:19" x14ac:dyDescent="0.25">
      <c r="A24">
        <v>23</v>
      </c>
      <c r="B24" t="s">
        <v>13</v>
      </c>
      <c r="C24">
        <v>30</v>
      </c>
      <c r="D24" t="str">
        <f t="shared" si="0"/>
        <v>30's</v>
      </c>
      <c r="E24" t="s">
        <v>18</v>
      </c>
      <c r="F24">
        <v>7.7</v>
      </c>
      <c r="G24" t="str">
        <f t="shared" si="1"/>
        <v>Good</v>
      </c>
      <c r="H24">
        <v>7</v>
      </c>
      <c r="I24" t="str">
        <f t="shared" si="2"/>
        <v>Good</v>
      </c>
      <c r="J24">
        <v>75</v>
      </c>
      <c r="K24" s="1">
        <f t="shared" si="3"/>
        <v>3.125</v>
      </c>
      <c r="L24" s="1" t="str">
        <f t="shared" si="4"/>
        <v>Highly Active</v>
      </c>
      <c r="M24">
        <v>6</v>
      </c>
      <c r="N24" t="s">
        <v>19</v>
      </c>
      <c r="O24" t="s">
        <v>27</v>
      </c>
      <c r="P24">
        <v>70</v>
      </c>
      <c r="Q24">
        <v>8000</v>
      </c>
      <c r="R24" t="str">
        <f t="shared" si="5"/>
        <v>Half Achieved</v>
      </c>
      <c r="S24" t="s">
        <v>17</v>
      </c>
    </row>
    <row r="25" spans="1:19" x14ac:dyDescent="0.25">
      <c r="A25">
        <v>24</v>
      </c>
      <c r="B25" t="s">
        <v>13</v>
      </c>
      <c r="C25">
        <v>30</v>
      </c>
      <c r="D25" t="str">
        <f t="shared" si="0"/>
        <v>30's</v>
      </c>
      <c r="E25" t="s">
        <v>18</v>
      </c>
      <c r="F25">
        <v>7.7</v>
      </c>
      <c r="G25" t="str">
        <f t="shared" si="1"/>
        <v>Good</v>
      </c>
      <c r="H25">
        <v>7</v>
      </c>
      <c r="I25" t="str">
        <f t="shared" si="2"/>
        <v>Good</v>
      </c>
      <c r="J25">
        <v>75</v>
      </c>
      <c r="K25" s="1">
        <f t="shared" si="3"/>
        <v>3.125</v>
      </c>
      <c r="L25" s="1" t="str">
        <f t="shared" si="4"/>
        <v>Highly Active</v>
      </c>
      <c r="M25">
        <v>6</v>
      </c>
      <c r="N25" t="s">
        <v>19</v>
      </c>
      <c r="O25" t="s">
        <v>27</v>
      </c>
      <c r="P25">
        <v>70</v>
      </c>
      <c r="Q25">
        <v>8000</v>
      </c>
      <c r="R25" t="str">
        <f t="shared" si="5"/>
        <v>Half Achieved</v>
      </c>
      <c r="S25" t="s">
        <v>17</v>
      </c>
    </row>
    <row r="26" spans="1:19" x14ac:dyDescent="0.25">
      <c r="A26">
        <v>25</v>
      </c>
      <c r="B26" t="s">
        <v>13</v>
      </c>
      <c r="C26">
        <v>30</v>
      </c>
      <c r="D26" t="str">
        <f t="shared" si="0"/>
        <v>30's</v>
      </c>
      <c r="E26" t="s">
        <v>18</v>
      </c>
      <c r="F26">
        <v>7.8</v>
      </c>
      <c r="G26" t="str">
        <f t="shared" si="1"/>
        <v>Good</v>
      </c>
      <c r="H26">
        <v>7</v>
      </c>
      <c r="I26" t="str">
        <f t="shared" si="2"/>
        <v>Good</v>
      </c>
      <c r="J26">
        <v>75</v>
      </c>
      <c r="K26" s="1">
        <f t="shared" si="3"/>
        <v>3.125</v>
      </c>
      <c r="L26" s="1" t="str">
        <f t="shared" si="4"/>
        <v>Highly Active</v>
      </c>
      <c r="M26">
        <v>6</v>
      </c>
      <c r="N26" t="s">
        <v>19</v>
      </c>
      <c r="O26" t="s">
        <v>27</v>
      </c>
      <c r="P26">
        <v>70</v>
      </c>
      <c r="Q26">
        <v>8000</v>
      </c>
      <c r="R26" t="str">
        <f t="shared" si="5"/>
        <v>Half Achieved</v>
      </c>
      <c r="S26" t="s">
        <v>17</v>
      </c>
    </row>
    <row r="27" spans="1:19" x14ac:dyDescent="0.25">
      <c r="A27">
        <v>26</v>
      </c>
      <c r="B27" t="s">
        <v>13</v>
      </c>
      <c r="C27">
        <v>30</v>
      </c>
      <c r="D27" t="str">
        <f t="shared" si="0"/>
        <v>30's</v>
      </c>
      <c r="E27" t="s">
        <v>18</v>
      </c>
      <c r="F27">
        <v>7.9</v>
      </c>
      <c r="G27" t="str">
        <f t="shared" si="1"/>
        <v>Good</v>
      </c>
      <c r="H27">
        <v>7</v>
      </c>
      <c r="I27" t="str">
        <f t="shared" si="2"/>
        <v>Good</v>
      </c>
      <c r="J27">
        <v>75</v>
      </c>
      <c r="K27" s="1">
        <f t="shared" si="3"/>
        <v>3.125</v>
      </c>
      <c r="L27" s="1" t="str">
        <f t="shared" si="4"/>
        <v>Highly Active</v>
      </c>
      <c r="M27">
        <v>6</v>
      </c>
      <c r="N27" t="s">
        <v>19</v>
      </c>
      <c r="O27" t="s">
        <v>27</v>
      </c>
      <c r="P27">
        <v>70</v>
      </c>
      <c r="Q27">
        <v>8000</v>
      </c>
      <c r="R27" t="str">
        <f t="shared" si="5"/>
        <v>Half Achieved</v>
      </c>
      <c r="S27" t="s">
        <v>17</v>
      </c>
    </row>
    <row r="28" spans="1:19" x14ac:dyDescent="0.25">
      <c r="A28">
        <v>27</v>
      </c>
      <c r="B28" t="s">
        <v>13</v>
      </c>
      <c r="C28">
        <v>30</v>
      </c>
      <c r="D28" t="str">
        <f t="shared" si="0"/>
        <v>30's</v>
      </c>
      <c r="E28" t="s">
        <v>18</v>
      </c>
      <c r="F28">
        <v>7.8</v>
      </c>
      <c r="G28" t="str">
        <f t="shared" si="1"/>
        <v>Good</v>
      </c>
      <c r="H28">
        <v>7</v>
      </c>
      <c r="I28" t="str">
        <f t="shared" si="2"/>
        <v>Good</v>
      </c>
      <c r="J28">
        <v>75</v>
      </c>
      <c r="K28" s="1">
        <f t="shared" si="3"/>
        <v>3.125</v>
      </c>
      <c r="L28" s="1" t="str">
        <f t="shared" si="4"/>
        <v>Highly Active</v>
      </c>
      <c r="M28">
        <v>6</v>
      </c>
      <c r="N28" t="s">
        <v>19</v>
      </c>
      <c r="O28" t="s">
        <v>27</v>
      </c>
      <c r="P28">
        <v>70</v>
      </c>
      <c r="Q28">
        <v>8000</v>
      </c>
      <c r="R28" t="str">
        <f t="shared" si="5"/>
        <v>Half Achieved</v>
      </c>
      <c r="S28" t="s">
        <v>17</v>
      </c>
    </row>
    <row r="29" spans="1:19" x14ac:dyDescent="0.25">
      <c r="A29">
        <v>28</v>
      </c>
      <c r="B29" t="s">
        <v>13</v>
      </c>
      <c r="C29">
        <v>30</v>
      </c>
      <c r="D29" t="str">
        <f t="shared" si="0"/>
        <v>30's</v>
      </c>
      <c r="E29" t="s">
        <v>18</v>
      </c>
      <c r="F29">
        <v>7.9</v>
      </c>
      <c r="G29" t="str">
        <f t="shared" si="1"/>
        <v>Good</v>
      </c>
      <c r="H29">
        <v>7</v>
      </c>
      <c r="I29" t="str">
        <f t="shared" si="2"/>
        <v>Good</v>
      </c>
      <c r="J29">
        <v>75</v>
      </c>
      <c r="K29" s="1">
        <f t="shared" si="3"/>
        <v>3.125</v>
      </c>
      <c r="L29" s="1" t="str">
        <f t="shared" si="4"/>
        <v>Highly Active</v>
      </c>
      <c r="M29">
        <v>6</v>
      </c>
      <c r="N29" t="s">
        <v>19</v>
      </c>
      <c r="O29" t="s">
        <v>27</v>
      </c>
      <c r="P29">
        <v>70</v>
      </c>
      <c r="Q29">
        <v>8000</v>
      </c>
      <c r="R29" t="str">
        <f t="shared" si="5"/>
        <v>Half Achieved</v>
      </c>
      <c r="S29" t="s">
        <v>17</v>
      </c>
    </row>
    <row r="30" spans="1:19" x14ac:dyDescent="0.25">
      <c r="A30">
        <v>29</v>
      </c>
      <c r="B30" t="s">
        <v>13</v>
      </c>
      <c r="C30">
        <v>30</v>
      </c>
      <c r="D30" t="str">
        <f t="shared" si="0"/>
        <v>30's</v>
      </c>
      <c r="E30" t="s">
        <v>18</v>
      </c>
      <c r="F30">
        <v>7.9</v>
      </c>
      <c r="G30" t="str">
        <f t="shared" si="1"/>
        <v>Good</v>
      </c>
      <c r="H30">
        <v>7</v>
      </c>
      <c r="I30" t="str">
        <f t="shared" si="2"/>
        <v>Good</v>
      </c>
      <c r="J30">
        <v>75</v>
      </c>
      <c r="K30" s="1">
        <f t="shared" si="3"/>
        <v>3.125</v>
      </c>
      <c r="L30" s="1" t="str">
        <f t="shared" si="4"/>
        <v>Highly Active</v>
      </c>
      <c r="M30">
        <v>6</v>
      </c>
      <c r="N30" t="s">
        <v>19</v>
      </c>
      <c r="O30" t="s">
        <v>27</v>
      </c>
      <c r="P30">
        <v>70</v>
      </c>
      <c r="Q30">
        <v>8000</v>
      </c>
      <c r="R30" t="str">
        <f t="shared" si="5"/>
        <v>Half Achieved</v>
      </c>
      <c r="S30" t="s">
        <v>17</v>
      </c>
    </row>
    <row r="31" spans="1:19" x14ac:dyDescent="0.25">
      <c r="A31">
        <v>30</v>
      </c>
      <c r="B31" t="s">
        <v>13</v>
      </c>
      <c r="C31">
        <v>30</v>
      </c>
      <c r="D31" t="str">
        <f t="shared" si="0"/>
        <v>30's</v>
      </c>
      <c r="E31" t="s">
        <v>18</v>
      </c>
      <c r="F31">
        <v>7.9</v>
      </c>
      <c r="G31" t="str">
        <f t="shared" si="1"/>
        <v>Good</v>
      </c>
      <c r="H31">
        <v>7</v>
      </c>
      <c r="I31" t="str">
        <f t="shared" si="2"/>
        <v>Good</v>
      </c>
      <c r="J31">
        <v>75</v>
      </c>
      <c r="K31" s="1">
        <f t="shared" si="3"/>
        <v>3.125</v>
      </c>
      <c r="L31" s="1" t="str">
        <f t="shared" si="4"/>
        <v>Highly Active</v>
      </c>
      <c r="M31">
        <v>6</v>
      </c>
      <c r="N31" t="s">
        <v>19</v>
      </c>
      <c r="O31" t="s">
        <v>27</v>
      </c>
      <c r="P31">
        <v>70</v>
      </c>
      <c r="Q31">
        <v>8000</v>
      </c>
      <c r="R31" t="str">
        <f t="shared" si="5"/>
        <v>Half Achieved</v>
      </c>
      <c r="S31" t="s">
        <v>17</v>
      </c>
    </row>
    <row r="32" spans="1:19" x14ac:dyDescent="0.25">
      <c r="A32">
        <v>31</v>
      </c>
      <c r="B32" t="s">
        <v>28</v>
      </c>
      <c r="C32">
        <v>30</v>
      </c>
      <c r="D32" t="str">
        <f t="shared" si="0"/>
        <v>30's</v>
      </c>
      <c r="E32" t="s">
        <v>29</v>
      </c>
      <c r="F32">
        <v>6.4</v>
      </c>
      <c r="G32" t="str">
        <f t="shared" si="1"/>
        <v>Low</v>
      </c>
      <c r="H32">
        <v>5</v>
      </c>
      <c r="I32" t="str">
        <f t="shared" si="2"/>
        <v>Good</v>
      </c>
      <c r="J32">
        <v>35</v>
      </c>
      <c r="K32" s="1">
        <f t="shared" si="3"/>
        <v>1.4583333333333333</v>
      </c>
      <c r="L32" s="1" t="str">
        <f t="shared" si="4"/>
        <v>Sedentary</v>
      </c>
      <c r="M32">
        <v>7</v>
      </c>
      <c r="N32" t="s">
        <v>19</v>
      </c>
      <c r="O32" t="s">
        <v>31</v>
      </c>
      <c r="P32">
        <v>78</v>
      </c>
      <c r="Q32">
        <v>4100</v>
      </c>
      <c r="R32" t="str">
        <f t="shared" si="5"/>
        <v>Partially Achieved</v>
      </c>
      <c r="S32" t="s">
        <v>24</v>
      </c>
    </row>
    <row r="33" spans="1:19" x14ac:dyDescent="0.25">
      <c r="A33">
        <v>32</v>
      </c>
      <c r="B33" t="s">
        <v>28</v>
      </c>
      <c r="C33">
        <v>30</v>
      </c>
      <c r="D33" t="str">
        <f t="shared" si="0"/>
        <v>30's</v>
      </c>
      <c r="E33" t="s">
        <v>29</v>
      </c>
      <c r="F33">
        <v>6.4</v>
      </c>
      <c r="G33" t="str">
        <f t="shared" si="1"/>
        <v>Low</v>
      </c>
      <c r="H33">
        <v>5</v>
      </c>
      <c r="I33" t="str">
        <f t="shared" si="2"/>
        <v>Good</v>
      </c>
      <c r="J33">
        <v>35</v>
      </c>
      <c r="K33" s="1">
        <f t="shared" si="3"/>
        <v>1.4583333333333333</v>
      </c>
      <c r="L33" s="1" t="str">
        <f t="shared" si="4"/>
        <v>Sedentary</v>
      </c>
      <c r="M33">
        <v>7</v>
      </c>
      <c r="N33" t="s">
        <v>19</v>
      </c>
      <c r="O33" t="s">
        <v>31</v>
      </c>
      <c r="P33">
        <v>78</v>
      </c>
      <c r="Q33">
        <v>4100</v>
      </c>
      <c r="R33" t="str">
        <f t="shared" si="5"/>
        <v>Partially Achieved</v>
      </c>
      <c r="S33" t="s">
        <v>25</v>
      </c>
    </row>
    <row r="34" spans="1:19" x14ac:dyDescent="0.25">
      <c r="A34">
        <v>33</v>
      </c>
      <c r="B34" t="s">
        <v>28</v>
      </c>
      <c r="C34">
        <v>31</v>
      </c>
      <c r="D34" t="str">
        <f t="shared" si="0"/>
        <v>30's</v>
      </c>
      <c r="E34" t="s">
        <v>29</v>
      </c>
      <c r="F34">
        <v>7.9</v>
      </c>
      <c r="G34" t="str">
        <f t="shared" si="1"/>
        <v>Good</v>
      </c>
      <c r="H34">
        <v>8</v>
      </c>
      <c r="I34" t="str">
        <f t="shared" si="2"/>
        <v>Good</v>
      </c>
      <c r="J34">
        <v>75</v>
      </c>
      <c r="K34" s="1">
        <f t="shared" si="3"/>
        <v>3.125</v>
      </c>
      <c r="L34" s="1" t="str">
        <f t="shared" si="4"/>
        <v>Highly Active</v>
      </c>
      <c r="M34">
        <v>4</v>
      </c>
      <c r="N34" t="s">
        <v>19</v>
      </c>
      <c r="O34" t="s">
        <v>32</v>
      </c>
      <c r="P34">
        <v>69</v>
      </c>
      <c r="Q34">
        <v>6800</v>
      </c>
      <c r="R34" t="str">
        <f t="shared" si="5"/>
        <v>Half Achieved</v>
      </c>
      <c r="S34" t="s">
        <v>17</v>
      </c>
    </row>
    <row r="35" spans="1:19" x14ac:dyDescent="0.25">
      <c r="A35">
        <v>34</v>
      </c>
      <c r="B35" t="s">
        <v>13</v>
      </c>
      <c r="C35">
        <v>31</v>
      </c>
      <c r="D35" t="str">
        <f t="shared" si="0"/>
        <v>30's</v>
      </c>
      <c r="E35" t="s">
        <v>18</v>
      </c>
      <c r="F35">
        <v>6.1</v>
      </c>
      <c r="G35" t="str">
        <f t="shared" si="1"/>
        <v>Low</v>
      </c>
      <c r="H35">
        <v>6</v>
      </c>
      <c r="I35" t="str">
        <f t="shared" si="2"/>
        <v>Good</v>
      </c>
      <c r="J35">
        <v>30</v>
      </c>
      <c r="K35" s="1">
        <f t="shared" si="3"/>
        <v>1.25</v>
      </c>
      <c r="L35" s="1" t="str">
        <f t="shared" si="4"/>
        <v>Sedentary</v>
      </c>
      <c r="M35">
        <v>8</v>
      </c>
      <c r="N35" t="s">
        <v>19</v>
      </c>
      <c r="O35" t="s">
        <v>20</v>
      </c>
      <c r="P35">
        <v>72</v>
      </c>
      <c r="Q35">
        <v>5000</v>
      </c>
      <c r="R35" t="str">
        <f t="shared" si="5"/>
        <v>Half Achieved</v>
      </c>
      <c r="S35" t="s">
        <v>17</v>
      </c>
    </row>
    <row r="36" spans="1:19" x14ac:dyDescent="0.25">
      <c r="A36">
        <v>35</v>
      </c>
      <c r="B36" t="s">
        <v>13</v>
      </c>
      <c r="C36">
        <v>31</v>
      </c>
      <c r="D36" t="str">
        <f t="shared" si="0"/>
        <v>30's</v>
      </c>
      <c r="E36" t="s">
        <v>18</v>
      </c>
      <c r="F36">
        <v>7.7</v>
      </c>
      <c r="G36" t="str">
        <f t="shared" si="1"/>
        <v>Good</v>
      </c>
      <c r="H36">
        <v>7</v>
      </c>
      <c r="I36" t="str">
        <f t="shared" si="2"/>
        <v>Good</v>
      </c>
      <c r="J36">
        <v>75</v>
      </c>
      <c r="K36" s="1">
        <f t="shared" si="3"/>
        <v>3.125</v>
      </c>
      <c r="L36" s="1" t="str">
        <f t="shared" si="4"/>
        <v>Highly Active</v>
      </c>
      <c r="M36">
        <v>6</v>
      </c>
      <c r="N36" t="s">
        <v>19</v>
      </c>
      <c r="O36" t="s">
        <v>27</v>
      </c>
      <c r="P36">
        <v>70</v>
      </c>
      <c r="Q36">
        <v>8000</v>
      </c>
      <c r="R36" t="str">
        <f t="shared" si="5"/>
        <v>Half Achieved</v>
      </c>
      <c r="S36" t="s">
        <v>17</v>
      </c>
    </row>
    <row r="37" spans="1:19" x14ac:dyDescent="0.25">
      <c r="A37">
        <v>36</v>
      </c>
      <c r="B37" t="s">
        <v>13</v>
      </c>
      <c r="C37">
        <v>31</v>
      </c>
      <c r="D37" t="str">
        <f t="shared" si="0"/>
        <v>30's</v>
      </c>
      <c r="E37" t="s">
        <v>18</v>
      </c>
      <c r="F37">
        <v>6.1</v>
      </c>
      <c r="G37" t="str">
        <f t="shared" si="1"/>
        <v>Low</v>
      </c>
      <c r="H37">
        <v>6</v>
      </c>
      <c r="I37" t="str">
        <f t="shared" si="2"/>
        <v>Good</v>
      </c>
      <c r="J37">
        <v>30</v>
      </c>
      <c r="K37" s="1">
        <f t="shared" si="3"/>
        <v>1.25</v>
      </c>
      <c r="L37" s="1" t="str">
        <f t="shared" si="4"/>
        <v>Sedentary</v>
      </c>
      <c r="M37">
        <v>8</v>
      </c>
      <c r="N37" t="s">
        <v>19</v>
      </c>
      <c r="O37" t="s">
        <v>20</v>
      </c>
      <c r="P37">
        <v>72</v>
      </c>
      <c r="Q37">
        <v>5000</v>
      </c>
      <c r="R37" t="str">
        <f t="shared" si="5"/>
        <v>Half Achieved</v>
      </c>
      <c r="S37" t="s">
        <v>17</v>
      </c>
    </row>
    <row r="38" spans="1:19" x14ac:dyDescent="0.25">
      <c r="A38">
        <v>37</v>
      </c>
      <c r="B38" t="s">
        <v>13</v>
      </c>
      <c r="C38">
        <v>31</v>
      </c>
      <c r="D38" t="str">
        <f t="shared" si="0"/>
        <v>30's</v>
      </c>
      <c r="E38" t="s">
        <v>18</v>
      </c>
      <c r="F38">
        <v>6.1</v>
      </c>
      <c r="G38" t="str">
        <f t="shared" si="1"/>
        <v>Low</v>
      </c>
      <c r="H38">
        <v>6</v>
      </c>
      <c r="I38" t="str">
        <f t="shared" si="2"/>
        <v>Good</v>
      </c>
      <c r="J38">
        <v>30</v>
      </c>
      <c r="K38" s="1">
        <f t="shared" si="3"/>
        <v>1.25</v>
      </c>
      <c r="L38" s="1" t="str">
        <f t="shared" si="4"/>
        <v>Sedentary</v>
      </c>
      <c r="M38">
        <v>8</v>
      </c>
      <c r="N38" t="s">
        <v>19</v>
      </c>
      <c r="O38" t="s">
        <v>20</v>
      </c>
      <c r="P38">
        <v>72</v>
      </c>
      <c r="Q38">
        <v>5000</v>
      </c>
      <c r="R38" t="str">
        <f t="shared" si="5"/>
        <v>Half Achieved</v>
      </c>
      <c r="S38" t="s">
        <v>17</v>
      </c>
    </row>
    <row r="39" spans="1:19" x14ac:dyDescent="0.25">
      <c r="A39">
        <v>38</v>
      </c>
      <c r="B39" t="s">
        <v>13</v>
      </c>
      <c r="C39">
        <v>31</v>
      </c>
      <c r="D39" t="str">
        <f t="shared" si="0"/>
        <v>30's</v>
      </c>
      <c r="E39" t="s">
        <v>18</v>
      </c>
      <c r="F39">
        <v>7.6</v>
      </c>
      <c r="G39" t="str">
        <f t="shared" si="1"/>
        <v>Good</v>
      </c>
      <c r="H39">
        <v>7</v>
      </c>
      <c r="I39" t="str">
        <f t="shared" si="2"/>
        <v>Good</v>
      </c>
      <c r="J39">
        <v>75</v>
      </c>
      <c r="K39" s="1">
        <f t="shared" si="3"/>
        <v>3.125</v>
      </c>
      <c r="L39" s="1" t="str">
        <f t="shared" si="4"/>
        <v>Highly Active</v>
      </c>
      <c r="M39">
        <v>6</v>
      </c>
      <c r="N39" t="s">
        <v>19</v>
      </c>
      <c r="O39" t="s">
        <v>27</v>
      </c>
      <c r="P39">
        <v>70</v>
      </c>
      <c r="Q39">
        <v>8000</v>
      </c>
      <c r="R39" t="str">
        <f t="shared" si="5"/>
        <v>Half Achieved</v>
      </c>
      <c r="S39" t="s">
        <v>17</v>
      </c>
    </row>
    <row r="40" spans="1:19" x14ac:dyDescent="0.25">
      <c r="A40">
        <v>39</v>
      </c>
      <c r="B40" t="s">
        <v>13</v>
      </c>
      <c r="C40">
        <v>31</v>
      </c>
      <c r="D40" t="str">
        <f t="shared" si="0"/>
        <v>30's</v>
      </c>
      <c r="E40" t="s">
        <v>18</v>
      </c>
      <c r="F40">
        <v>7.6</v>
      </c>
      <c r="G40" t="str">
        <f t="shared" si="1"/>
        <v>Good</v>
      </c>
      <c r="H40">
        <v>7</v>
      </c>
      <c r="I40" t="str">
        <f t="shared" si="2"/>
        <v>Good</v>
      </c>
      <c r="J40">
        <v>75</v>
      </c>
      <c r="K40" s="1">
        <f t="shared" si="3"/>
        <v>3.125</v>
      </c>
      <c r="L40" s="1" t="str">
        <f t="shared" si="4"/>
        <v>Highly Active</v>
      </c>
      <c r="M40">
        <v>6</v>
      </c>
      <c r="N40" t="s">
        <v>19</v>
      </c>
      <c r="O40" t="s">
        <v>27</v>
      </c>
      <c r="P40">
        <v>70</v>
      </c>
      <c r="Q40">
        <v>8000</v>
      </c>
      <c r="R40" t="str">
        <f t="shared" si="5"/>
        <v>Half Achieved</v>
      </c>
      <c r="S40" t="s">
        <v>17</v>
      </c>
    </row>
    <row r="41" spans="1:19" x14ac:dyDescent="0.25">
      <c r="A41">
        <v>40</v>
      </c>
      <c r="B41" t="s">
        <v>13</v>
      </c>
      <c r="C41">
        <v>31</v>
      </c>
      <c r="D41" t="str">
        <f t="shared" si="0"/>
        <v>30's</v>
      </c>
      <c r="E41" t="s">
        <v>18</v>
      </c>
      <c r="F41">
        <v>7.6</v>
      </c>
      <c r="G41" t="str">
        <f t="shared" si="1"/>
        <v>Good</v>
      </c>
      <c r="H41">
        <v>7</v>
      </c>
      <c r="I41" t="str">
        <f t="shared" si="2"/>
        <v>Good</v>
      </c>
      <c r="J41">
        <v>75</v>
      </c>
      <c r="K41" s="1">
        <f t="shared" si="3"/>
        <v>3.125</v>
      </c>
      <c r="L41" s="1" t="str">
        <f t="shared" si="4"/>
        <v>Highly Active</v>
      </c>
      <c r="M41">
        <v>6</v>
      </c>
      <c r="N41" t="s">
        <v>19</v>
      </c>
      <c r="O41" t="s">
        <v>27</v>
      </c>
      <c r="P41">
        <v>70</v>
      </c>
      <c r="Q41">
        <v>8000</v>
      </c>
      <c r="R41" t="str">
        <f t="shared" si="5"/>
        <v>Half Achieved</v>
      </c>
      <c r="S41" t="s">
        <v>17</v>
      </c>
    </row>
    <row r="42" spans="1:19" x14ac:dyDescent="0.25">
      <c r="A42">
        <v>41</v>
      </c>
      <c r="B42" t="s">
        <v>13</v>
      </c>
      <c r="C42">
        <v>31</v>
      </c>
      <c r="D42" t="str">
        <f t="shared" si="0"/>
        <v>30's</v>
      </c>
      <c r="E42" t="s">
        <v>18</v>
      </c>
      <c r="F42">
        <v>7.7</v>
      </c>
      <c r="G42" t="str">
        <f t="shared" si="1"/>
        <v>Good</v>
      </c>
      <c r="H42">
        <v>7</v>
      </c>
      <c r="I42" t="str">
        <f t="shared" si="2"/>
        <v>Good</v>
      </c>
      <c r="J42">
        <v>75</v>
      </c>
      <c r="K42" s="1">
        <f t="shared" si="3"/>
        <v>3.125</v>
      </c>
      <c r="L42" s="1" t="str">
        <f t="shared" si="4"/>
        <v>Highly Active</v>
      </c>
      <c r="M42">
        <v>6</v>
      </c>
      <c r="N42" t="s">
        <v>19</v>
      </c>
      <c r="O42" t="s">
        <v>27</v>
      </c>
      <c r="P42">
        <v>70</v>
      </c>
      <c r="Q42">
        <v>8000</v>
      </c>
      <c r="R42" t="str">
        <f t="shared" si="5"/>
        <v>Half Achieved</v>
      </c>
      <c r="S42" t="s">
        <v>17</v>
      </c>
    </row>
    <row r="43" spans="1:19" x14ac:dyDescent="0.25">
      <c r="A43">
        <v>42</v>
      </c>
      <c r="B43" t="s">
        <v>13</v>
      </c>
      <c r="C43">
        <v>31</v>
      </c>
      <c r="D43" t="str">
        <f t="shared" si="0"/>
        <v>30's</v>
      </c>
      <c r="E43" t="s">
        <v>18</v>
      </c>
      <c r="F43">
        <v>7.7</v>
      </c>
      <c r="G43" t="str">
        <f t="shared" si="1"/>
        <v>Good</v>
      </c>
      <c r="H43">
        <v>7</v>
      </c>
      <c r="I43" t="str">
        <f t="shared" si="2"/>
        <v>Good</v>
      </c>
      <c r="J43">
        <v>75</v>
      </c>
      <c r="K43" s="1">
        <f t="shared" si="3"/>
        <v>3.125</v>
      </c>
      <c r="L43" s="1" t="str">
        <f t="shared" si="4"/>
        <v>Highly Active</v>
      </c>
      <c r="M43">
        <v>6</v>
      </c>
      <c r="N43" t="s">
        <v>19</v>
      </c>
      <c r="O43" t="s">
        <v>27</v>
      </c>
      <c r="P43">
        <v>70</v>
      </c>
      <c r="Q43">
        <v>8000</v>
      </c>
      <c r="R43" t="str">
        <f t="shared" si="5"/>
        <v>Half Achieved</v>
      </c>
      <c r="S43" t="s">
        <v>17</v>
      </c>
    </row>
    <row r="44" spans="1:19" x14ac:dyDescent="0.25">
      <c r="A44">
        <v>43</v>
      </c>
      <c r="B44" t="s">
        <v>13</v>
      </c>
      <c r="C44">
        <v>31</v>
      </c>
      <c r="D44" t="str">
        <f t="shared" si="0"/>
        <v>30's</v>
      </c>
      <c r="E44" t="s">
        <v>18</v>
      </c>
      <c r="F44">
        <v>7.7</v>
      </c>
      <c r="G44" t="str">
        <f t="shared" si="1"/>
        <v>Good</v>
      </c>
      <c r="H44">
        <v>7</v>
      </c>
      <c r="I44" t="str">
        <f t="shared" si="2"/>
        <v>Good</v>
      </c>
      <c r="J44">
        <v>75</v>
      </c>
      <c r="K44" s="1">
        <f t="shared" si="3"/>
        <v>3.125</v>
      </c>
      <c r="L44" s="1" t="str">
        <f t="shared" si="4"/>
        <v>Highly Active</v>
      </c>
      <c r="M44">
        <v>6</v>
      </c>
      <c r="N44" t="s">
        <v>19</v>
      </c>
      <c r="O44" t="s">
        <v>27</v>
      </c>
      <c r="P44">
        <v>70</v>
      </c>
      <c r="Q44">
        <v>8000</v>
      </c>
      <c r="R44" t="str">
        <f t="shared" si="5"/>
        <v>Half Achieved</v>
      </c>
      <c r="S44" t="s">
        <v>17</v>
      </c>
    </row>
    <row r="45" spans="1:19" x14ac:dyDescent="0.25">
      <c r="A45">
        <v>44</v>
      </c>
      <c r="B45" t="s">
        <v>13</v>
      </c>
      <c r="C45">
        <v>31</v>
      </c>
      <c r="D45" t="str">
        <f t="shared" si="0"/>
        <v>30's</v>
      </c>
      <c r="E45" t="s">
        <v>18</v>
      </c>
      <c r="F45">
        <v>7.8</v>
      </c>
      <c r="G45" t="str">
        <f t="shared" si="1"/>
        <v>Good</v>
      </c>
      <c r="H45">
        <v>7</v>
      </c>
      <c r="I45" t="str">
        <f t="shared" si="2"/>
        <v>Good</v>
      </c>
      <c r="J45">
        <v>75</v>
      </c>
      <c r="K45" s="1">
        <f t="shared" si="3"/>
        <v>3.125</v>
      </c>
      <c r="L45" s="1" t="str">
        <f t="shared" si="4"/>
        <v>Highly Active</v>
      </c>
      <c r="M45">
        <v>6</v>
      </c>
      <c r="N45" t="s">
        <v>19</v>
      </c>
      <c r="O45" t="s">
        <v>27</v>
      </c>
      <c r="P45">
        <v>70</v>
      </c>
      <c r="Q45">
        <v>8000</v>
      </c>
      <c r="R45" t="str">
        <f t="shared" si="5"/>
        <v>Half Achieved</v>
      </c>
      <c r="S45" t="s">
        <v>17</v>
      </c>
    </row>
    <row r="46" spans="1:19" x14ac:dyDescent="0.25">
      <c r="A46">
        <v>45</v>
      </c>
      <c r="B46" t="s">
        <v>13</v>
      </c>
      <c r="C46">
        <v>31</v>
      </c>
      <c r="D46" t="str">
        <f t="shared" si="0"/>
        <v>30's</v>
      </c>
      <c r="E46" t="s">
        <v>18</v>
      </c>
      <c r="F46">
        <v>7.7</v>
      </c>
      <c r="G46" t="str">
        <f t="shared" si="1"/>
        <v>Good</v>
      </c>
      <c r="H46">
        <v>7</v>
      </c>
      <c r="I46" t="str">
        <f t="shared" si="2"/>
        <v>Good</v>
      </c>
      <c r="J46">
        <v>75</v>
      </c>
      <c r="K46" s="1">
        <f t="shared" si="3"/>
        <v>3.125</v>
      </c>
      <c r="L46" s="1" t="str">
        <f t="shared" si="4"/>
        <v>Highly Active</v>
      </c>
      <c r="M46">
        <v>6</v>
      </c>
      <c r="N46" t="s">
        <v>19</v>
      </c>
      <c r="O46" t="s">
        <v>27</v>
      </c>
      <c r="P46">
        <v>70</v>
      </c>
      <c r="Q46">
        <v>8000</v>
      </c>
      <c r="R46" t="str">
        <f t="shared" si="5"/>
        <v>Half Achieved</v>
      </c>
      <c r="S46" t="s">
        <v>17</v>
      </c>
    </row>
    <row r="47" spans="1:19" x14ac:dyDescent="0.25">
      <c r="A47">
        <v>46</v>
      </c>
      <c r="B47" t="s">
        <v>13</v>
      </c>
      <c r="C47">
        <v>31</v>
      </c>
      <c r="D47" t="str">
        <f t="shared" si="0"/>
        <v>30's</v>
      </c>
      <c r="E47" t="s">
        <v>18</v>
      </c>
      <c r="F47">
        <v>7.8</v>
      </c>
      <c r="G47" t="str">
        <f t="shared" si="1"/>
        <v>Good</v>
      </c>
      <c r="H47">
        <v>7</v>
      </c>
      <c r="I47" t="str">
        <f t="shared" si="2"/>
        <v>Good</v>
      </c>
      <c r="J47">
        <v>75</v>
      </c>
      <c r="K47" s="1">
        <f t="shared" si="3"/>
        <v>3.125</v>
      </c>
      <c r="L47" s="1" t="str">
        <f t="shared" si="4"/>
        <v>Highly Active</v>
      </c>
      <c r="M47">
        <v>6</v>
      </c>
      <c r="N47" t="s">
        <v>19</v>
      </c>
      <c r="O47" t="s">
        <v>27</v>
      </c>
      <c r="P47">
        <v>70</v>
      </c>
      <c r="Q47">
        <v>8000</v>
      </c>
      <c r="R47" t="str">
        <f t="shared" si="5"/>
        <v>Half Achieved</v>
      </c>
      <c r="S47" t="s">
        <v>17</v>
      </c>
    </row>
    <row r="48" spans="1:19" x14ac:dyDescent="0.25">
      <c r="A48">
        <v>47</v>
      </c>
      <c r="B48" t="s">
        <v>13</v>
      </c>
      <c r="C48">
        <v>31</v>
      </c>
      <c r="D48" t="str">
        <f t="shared" si="0"/>
        <v>30's</v>
      </c>
      <c r="E48" t="s">
        <v>18</v>
      </c>
      <c r="F48">
        <v>7.7</v>
      </c>
      <c r="G48" t="str">
        <f t="shared" si="1"/>
        <v>Good</v>
      </c>
      <c r="H48">
        <v>7</v>
      </c>
      <c r="I48" t="str">
        <f t="shared" si="2"/>
        <v>Good</v>
      </c>
      <c r="J48">
        <v>75</v>
      </c>
      <c r="K48" s="1">
        <f t="shared" si="3"/>
        <v>3.125</v>
      </c>
      <c r="L48" s="1" t="str">
        <f t="shared" si="4"/>
        <v>Highly Active</v>
      </c>
      <c r="M48">
        <v>6</v>
      </c>
      <c r="N48" t="s">
        <v>19</v>
      </c>
      <c r="O48" t="s">
        <v>27</v>
      </c>
      <c r="P48">
        <v>70</v>
      </c>
      <c r="Q48">
        <v>8000</v>
      </c>
      <c r="R48" t="str">
        <f t="shared" si="5"/>
        <v>Half Achieved</v>
      </c>
      <c r="S48" t="s">
        <v>17</v>
      </c>
    </row>
    <row r="49" spans="1:19" x14ac:dyDescent="0.25">
      <c r="A49">
        <v>48</v>
      </c>
      <c r="B49" t="s">
        <v>13</v>
      </c>
      <c r="C49">
        <v>31</v>
      </c>
      <c r="D49" t="str">
        <f t="shared" si="0"/>
        <v>30's</v>
      </c>
      <c r="E49" t="s">
        <v>18</v>
      </c>
      <c r="F49">
        <v>7.8</v>
      </c>
      <c r="G49" t="str">
        <f t="shared" si="1"/>
        <v>Good</v>
      </c>
      <c r="H49">
        <v>7</v>
      </c>
      <c r="I49" t="str">
        <f t="shared" si="2"/>
        <v>Good</v>
      </c>
      <c r="J49">
        <v>75</v>
      </c>
      <c r="K49" s="1">
        <f t="shared" si="3"/>
        <v>3.125</v>
      </c>
      <c r="L49" s="1" t="str">
        <f t="shared" si="4"/>
        <v>Highly Active</v>
      </c>
      <c r="M49">
        <v>6</v>
      </c>
      <c r="N49" t="s">
        <v>19</v>
      </c>
      <c r="O49" t="s">
        <v>27</v>
      </c>
      <c r="P49">
        <v>70</v>
      </c>
      <c r="Q49">
        <v>8000</v>
      </c>
      <c r="R49" t="str">
        <f t="shared" si="5"/>
        <v>Half Achieved</v>
      </c>
      <c r="S49" t="s">
        <v>17</v>
      </c>
    </row>
    <row r="50" spans="1:19" x14ac:dyDescent="0.25">
      <c r="A50">
        <v>49</v>
      </c>
      <c r="B50" t="s">
        <v>13</v>
      </c>
      <c r="C50">
        <v>31</v>
      </c>
      <c r="D50" t="str">
        <f t="shared" si="0"/>
        <v>30's</v>
      </c>
      <c r="E50" t="s">
        <v>18</v>
      </c>
      <c r="F50">
        <v>7.7</v>
      </c>
      <c r="G50" t="str">
        <f t="shared" si="1"/>
        <v>Good</v>
      </c>
      <c r="H50">
        <v>7</v>
      </c>
      <c r="I50" t="str">
        <f t="shared" si="2"/>
        <v>Good</v>
      </c>
      <c r="J50">
        <v>75</v>
      </c>
      <c r="K50" s="1">
        <f t="shared" si="3"/>
        <v>3.125</v>
      </c>
      <c r="L50" s="1" t="str">
        <f t="shared" si="4"/>
        <v>Highly Active</v>
      </c>
      <c r="M50">
        <v>6</v>
      </c>
      <c r="N50" t="s">
        <v>19</v>
      </c>
      <c r="O50" t="s">
        <v>27</v>
      </c>
      <c r="P50">
        <v>70</v>
      </c>
      <c r="Q50">
        <v>8000</v>
      </c>
      <c r="R50" t="str">
        <f t="shared" si="5"/>
        <v>Half Achieved</v>
      </c>
      <c r="S50" t="s">
        <v>17</v>
      </c>
    </row>
    <row r="51" spans="1:19" x14ac:dyDescent="0.25">
      <c r="A51">
        <v>50</v>
      </c>
      <c r="B51" t="s">
        <v>13</v>
      </c>
      <c r="C51">
        <v>31</v>
      </c>
      <c r="D51" t="str">
        <f t="shared" si="0"/>
        <v>30's</v>
      </c>
      <c r="E51" t="s">
        <v>18</v>
      </c>
      <c r="F51">
        <v>7.7</v>
      </c>
      <c r="G51" t="str">
        <f t="shared" si="1"/>
        <v>Good</v>
      </c>
      <c r="H51">
        <v>7</v>
      </c>
      <c r="I51" t="str">
        <f t="shared" si="2"/>
        <v>Good</v>
      </c>
      <c r="J51">
        <v>75</v>
      </c>
      <c r="K51" s="1">
        <f t="shared" si="3"/>
        <v>3.125</v>
      </c>
      <c r="L51" s="1" t="str">
        <f t="shared" si="4"/>
        <v>Highly Active</v>
      </c>
      <c r="M51">
        <v>6</v>
      </c>
      <c r="N51" t="s">
        <v>19</v>
      </c>
      <c r="O51" t="s">
        <v>27</v>
      </c>
      <c r="P51">
        <v>70</v>
      </c>
      <c r="Q51">
        <v>8000</v>
      </c>
      <c r="R51" t="str">
        <f t="shared" si="5"/>
        <v>Half Achieved</v>
      </c>
      <c r="S51" t="s">
        <v>24</v>
      </c>
    </row>
    <row r="52" spans="1:19" x14ac:dyDescent="0.25">
      <c r="A52">
        <v>51</v>
      </c>
      <c r="B52" t="s">
        <v>13</v>
      </c>
      <c r="C52">
        <v>32</v>
      </c>
      <c r="D52" t="str">
        <f t="shared" si="0"/>
        <v>30's</v>
      </c>
      <c r="E52" t="s">
        <v>33</v>
      </c>
      <c r="F52">
        <v>7.5</v>
      </c>
      <c r="G52" t="str">
        <f t="shared" si="1"/>
        <v>Good</v>
      </c>
      <c r="H52">
        <v>8</v>
      </c>
      <c r="I52" t="str">
        <f t="shared" si="2"/>
        <v>Good</v>
      </c>
      <c r="J52">
        <v>45</v>
      </c>
      <c r="K52" s="1">
        <f t="shared" si="3"/>
        <v>1.875</v>
      </c>
      <c r="L52" s="1" t="str">
        <f t="shared" si="4"/>
        <v>Active</v>
      </c>
      <c r="M52">
        <v>3</v>
      </c>
      <c r="N52" t="s">
        <v>19</v>
      </c>
      <c r="O52" t="s">
        <v>27</v>
      </c>
      <c r="P52">
        <v>70</v>
      </c>
      <c r="Q52">
        <v>8000</v>
      </c>
      <c r="R52" t="str">
        <f t="shared" si="5"/>
        <v>Half Achieved</v>
      </c>
      <c r="S52" t="s">
        <v>17</v>
      </c>
    </row>
    <row r="53" spans="1:19" x14ac:dyDescent="0.25">
      <c r="A53">
        <v>52</v>
      </c>
      <c r="B53" t="s">
        <v>13</v>
      </c>
      <c r="C53">
        <v>32</v>
      </c>
      <c r="D53" t="str">
        <f t="shared" si="0"/>
        <v>30's</v>
      </c>
      <c r="E53" t="s">
        <v>33</v>
      </c>
      <c r="F53">
        <v>7.5</v>
      </c>
      <c r="G53" t="str">
        <f t="shared" si="1"/>
        <v>Good</v>
      </c>
      <c r="H53">
        <v>8</v>
      </c>
      <c r="I53" t="str">
        <f t="shared" si="2"/>
        <v>Good</v>
      </c>
      <c r="J53">
        <v>45</v>
      </c>
      <c r="K53" s="1">
        <f t="shared" si="3"/>
        <v>1.875</v>
      </c>
      <c r="L53" s="1" t="str">
        <f t="shared" si="4"/>
        <v>Active</v>
      </c>
      <c r="M53">
        <v>3</v>
      </c>
      <c r="N53" t="s">
        <v>19</v>
      </c>
      <c r="O53" t="s">
        <v>27</v>
      </c>
      <c r="P53">
        <v>70</v>
      </c>
      <c r="Q53">
        <v>8000</v>
      </c>
      <c r="R53" t="str">
        <f t="shared" si="5"/>
        <v>Half Achieved</v>
      </c>
      <c r="S53" t="s">
        <v>17</v>
      </c>
    </row>
    <row r="54" spans="1:19" x14ac:dyDescent="0.25">
      <c r="A54">
        <v>53</v>
      </c>
      <c r="B54" t="s">
        <v>13</v>
      </c>
      <c r="C54">
        <v>32</v>
      </c>
      <c r="D54" t="str">
        <f t="shared" si="0"/>
        <v>30's</v>
      </c>
      <c r="E54" t="s">
        <v>18</v>
      </c>
      <c r="F54">
        <v>6</v>
      </c>
      <c r="G54" t="str">
        <f t="shared" si="1"/>
        <v>Low</v>
      </c>
      <c r="H54">
        <v>6</v>
      </c>
      <c r="I54" t="str">
        <f t="shared" si="2"/>
        <v>Good</v>
      </c>
      <c r="J54">
        <v>30</v>
      </c>
      <c r="K54" s="1">
        <f t="shared" si="3"/>
        <v>1.25</v>
      </c>
      <c r="L54" s="1" t="str">
        <f t="shared" si="4"/>
        <v>Sedentary</v>
      </c>
      <c r="M54">
        <v>8</v>
      </c>
      <c r="N54" t="s">
        <v>19</v>
      </c>
      <c r="O54" t="s">
        <v>20</v>
      </c>
      <c r="P54">
        <v>72</v>
      </c>
      <c r="Q54">
        <v>5000</v>
      </c>
      <c r="R54" t="str">
        <f t="shared" si="5"/>
        <v>Half Achieved</v>
      </c>
      <c r="S54" t="s">
        <v>17</v>
      </c>
    </row>
    <row r="55" spans="1:19" x14ac:dyDescent="0.25">
      <c r="A55">
        <v>54</v>
      </c>
      <c r="B55" t="s">
        <v>13</v>
      </c>
      <c r="C55">
        <v>32</v>
      </c>
      <c r="D55" t="str">
        <f t="shared" si="0"/>
        <v>30's</v>
      </c>
      <c r="E55" t="s">
        <v>18</v>
      </c>
      <c r="F55">
        <v>7.6</v>
      </c>
      <c r="G55" t="str">
        <f t="shared" si="1"/>
        <v>Good</v>
      </c>
      <c r="H55">
        <v>7</v>
      </c>
      <c r="I55" t="str">
        <f t="shared" si="2"/>
        <v>Good</v>
      </c>
      <c r="J55">
        <v>75</v>
      </c>
      <c r="K55" s="1">
        <f t="shared" si="3"/>
        <v>3.125</v>
      </c>
      <c r="L55" s="1" t="str">
        <f t="shared" si="4"/>
        <v>Highly Active</v>
      </c>
      <c r="M55">
        <v>6</v>
      </c>
      <c r="N55" t="s">
        <v>19</v>
      </c>
      <c r="O55" t="s">
        <v>27</v>
      </c>
      <c r="P55">
        <v>70</v>
      </c>
      <c r="Q55">
        <v>8000</v>
      </c>
      <c r="R55" t="str">
        <f t="shared" si="5"/>
        <v>Half Achieved</v>
      </c>
      <c r="S55" t="s">
        <v>17</v>
      </c>
    </row>
    <row r="56" spans="1:19" x14ac:dyDescent="0.25">
      <c r="A56">
        <v>55</v>
      </c>
      <c r="B56" t="s">
        <v>13</v>
      </c>
      <c r="C56">
        <v>32</v>
      </c>
      <c r="D56" t="str">
        <f t="shared" si="0"/>
        <v>30's</v>
      </c>
      <c r="E56" t="s">
        <v>18</v>
      </c>
      <c r="F56">
        <v>6</v>
      </c>
      <c r="G56" t="str">
        <f t="shared" si="1"/>
        <v>Low</v>
      </c>
      <c r="H56">
        <v>6</v>
      </c>
      <c r="I56" t="str">
        <f t="shared" si="2"/>
        <v>Good</v>
      </c>
      <c r="J56">
        <v>30</v>
      </c>
      <c r="K56" s="1">
        <f t="shared" si="3"/>
        <v>1.25</v>
      </c>
      <c r="L56" s="1" t="str">
        <f t="shared" si="4"/>
        <v>Sedentary</v>
      </c>
      <c r="M56">
        <v>8</v>
      </c>
      <c r="N56" t="s">
        <v>19</v>
      </c>
      <c r="O56" t="s">
        <v>20</v>
      </c>
      <c r="P56">
        <v>72</v>
      </c>
      <c r="Q56">
        <v>5000</v>
      </c>
      <c r="R56" t="str">
        <f t="shared" si="5"/>
        <v>Half Achieved</v>
      </c>
      <c r="S56" t="s">
        <v>17</v>
      </c>
    </row>
    <row r="57" spans="1:19" x14ac:dyDescent="0.25">
      <c r="A57">
        <v>56</v>
      </c>
      <c r="B57" t="s">
        <v>13</v>
      </c>
      <c r="C57">
        <v>32</v>
      </c>
      <c r="D57" t="str">
        <f t="shared" si="0"/>
        <v>30's</v>
      </c>
      <c r="E57" t="s">
        <v>18</v>
      </c>
      <c r="F57">
        <v>6</v>
      </c>
      <c r="G57" t="str">
        <f t="shared" si="1"/>
        <v>Low</v>
      </c>
      <c r="H57">
        <v>6</v>
      </c>
      <c r="I57" t="str">
        <f t="shared" si="2"/>
        <v>Good</v>
      </c>
      <c r="J57">
        <v>30</v>
      </c>
      <c r="K57" s="1">
        <f t="shared" si="3"/>
        <v>1.25</v>
      </c>
      <c r="L57" s="1" t="str">
        <f t="shared" si="4"/>
        <v>Sedentary</v>
      </c>
      <c r="M57">
        <v>8</v>
      </c>
      <c r="N57" t="s">
        <v>19</v>
      </c>
      <c r="O57" t="s">
        <v>20</v>
      </c>
      <c r="P57">
        <v>72</v>
      </c>
      <c r="Q57">
        <v>5000</v>
      </c>
      <c r="R57" t="str">
        <f t="shared" si="5"/>
        <v>Half Achieved</v>
      </c>
      <c r="S57" t="s">
        <v>17</v>
      </c>
    </row>
    <row r="58" spans="1:19" x14ac:dyDescent="0.25">
      <c r="A58">
        <v>57</v>
      </c>
      <c r="B58" t="s">
        <v>13</v>
      </c>
      <c r="C58">
        <v>32</v>
      </c>
      <c r="D58" t="str">
        <f t="shared" si="0"/>
        <v>30's</v>
      </c>
      <c r="E58" t="s">
        <v>18</v>
      </c>
      <c r="F58">
        <v>7.7</v>
      </c>
      <c r="G58" t="str">
        <f t="shared" si="1"/>
        <v>Good</v>
      </c>
      <c r="H58">
        <v>7</v>
      </c>
      <c r="I58" t="str">
        <f t="shared" si="2"/>
        <v>Good</v>
      </c>
      <c r="J58">
        <v>75</v>
      </c>
      <c r="K58" s="1">
        <f t="shared" si="3"/>
        <v>3.125</v>
      </c>
      <c r="L58" s="1" t="str">
        <f t="shared" si="4"/>
        <v>Highly Active</v>
      </c>
      <c r="M58">
        <v>6</v>
      </c>
      <c r="N58" t="s">
        <v>19</v>
      </c>
      <c r="O58" t="s">
        <v>27</v>
      </c>
      <c r="P58">
        <v>70</v>
      </c>
      <c r="Q58">
        <v>8000</v>
      </c>
      <c r="R58" t="str">
        <f t="shared" si="5"/>
        <v>Half Achieved</v>
      </c>
      <c r="S58" t="s">
        <v>17</v>
      </c>
    </row>
    <row r="59" spans="1:19" x14ac:dyDescent="0.25">
      <c r="A59">
        <v>58</v>
      </c>
      <c r="B59" t="s">
        <v>13</v>
      </c>
      <c r="C59">
        <v>32</v>
      </c>
      <c r="D59" t="str">
        <f t="shared" si="0"/>
        <v>30's</v>
      </c>
      <c r="E59" t="s">
        <v>18</v>
      </c>
      <c r="F59">
        <v>6</v>
      </c>
      <c r="G59" t="str">
        <f t="shared" si="1"/>
        <v>Low</v>
      </c>
      <c r="H59">
        <v>6</v>
      </c>
      <c r="I59" t="str">
        <f t="shared" si="2"/>
        <v>Good</v>
      </c>
      <c r="J59">
        <v>30</v>
      </c>
      <c r="K59" s="1">
        <f t="shared" si="3"/>
        <v>1.25</v>
      </c>
      <c r="L59" s="1" t="str">
        <f t="shared" si="4"/>
        <v>Sedentary</v>
      </c>
      <c r="M59">
        <v>8</v>
      </c>
      <c r="N59" t="s">
        <v>19</v>
      </c>
      <c r="O59" t="s">
        <v>20</v>
      </c>
      <c r="P59">
        <v>72</v>
      </c>
      <c r="Q59">
        <v>5000</v>
      </c>
      <c r="R59" t="str">
        <f t="shared" si="5"/>
        <v>Half Achieved</v>
      </c>
      <c r="S59" t="s">
        <v>17</v>
      </c>
    </row>
    <row r="60" spans="1:19" x14ac:dyDescent="0.25">
      <c r="A60">
        <v>59</v>
      </c>
      <c r="B60" t="s">
        <v>13</v>
      </c>
      <c r="C60">
        <v>32</v>
      </c>
      <c r="D60" t="str">
        <f t="shared" si="0"/>
        <v>30's</v>
      </c>
      <c r="E60" t="s">
        <v>18</v>
      </c>
      <c r="F60">
        <v>6</v>
      </c>
      <c r="G60" t="str">
        <f t="shared" si="1"/>
        <v>Low</v>
      </c>
      <c r="H60">
        <v>6</v>
      </c>
      <c r="I60" t="str">
        <f t="shared" si="2"/>
        <v>Good</v>
      </c>
      <c r="J60">
        <v>30</v>
      </c>
      <c r="K60" s="1">
        <f t="shared" si="3"/>
        <v>1.25</v>
      </c>
      <c r="L60" s="1" t="str">
        <f t="shared" si="4"/>
        <v>Sedentary</v>
      </c>
      <c r="M60">
        <v>8</v>
      </c>
      <c r="N60" t="s">
        <v>19</v>
      </c>
      <c r="O60" t="s">
        <v>20</v>
      </c>
      <c r="P60">
        <v>72</v>
      </c>
      <c r="Q60">
        <v>5000</v>
      </c>
      <c r="R60" t="str">
        <f t="shared" si="5"/>
        <v>Half Achieved</v>
      </c>
      <c r="S60" t="s">
        <v>17</v>
      </c>
    </row>
    <row r="61" spans="1:19" x14ac:dyDescent="0.25">
      <c r="A61">
        <v>60</v>
      </c>
      <c r="B61" t="s">
        <v>13</v>
      </c>
      <c r="C61">
        <v>32</v>
      </c>
      <c r="D61" t="str">
        <f t="shared" si="0"/>
        <v>30's</v>
      </c>
      <c r="E61" t="s">
        <v>18</v>
      </c>
      <c r="F61">
        <v>7.7</v>
      </c>
      <c r="G61" t="str">
        <f t="shared" si="1"/>
        <v>Good</v>
      </c>
      <c r="H61">
        <v>7</v>
      </c>
      <c r="I61" t="str">
        <f t="shared" si="2"/>
        <v>Good</v>
      </c>
      <c r="J61">
        <v>75</v>
      </c>
      <c r="K61" s="1">
        <f t="shared" si="3"/>
        <v>3.125</v>
      </c>
      <c r="L61" s="1" t="str">
        <f t="shared" si="4"/>
        <v>Highly Active</v>
      </c>
      <c r="M61">
        <v>6</v>
      </c>
      <c r="N61" t="s">
        <v>19</v>
      </c>
      <c r="O61" t="s">
        <v>27</v>
      </c>
      <c r="P61">
        <v>70</v>
      </c>
      <c r="Q61">
        <v>8000</v>
      </c>
      <c r="R61" t="str">
        <f t="shared" si="5"/>
        <v>Half Achieved</v>
      </c>
      <c r="S61" t="s">
        <v>17</v>
      </c>
    </row>
    <row r="62" spans="1:19" x14ac:dyDescent="0.25">
      <c r="A62">
        <v>61</v>
      </c>
      <c r="B62" t="s">
        <v>13</v>
      </c>
      <c r="C62">
        <v>32</v>
      </c>
      <c r="D62" t="str">
        <f t="shared" si="0"/>
        <v>30's</v>
      </c>
      <c r="E62" t="s">
        <v>18</v>
      </c>
      <c r="F62">
        <v>6</v>
      </c>
      <c r="G62" t="str">
        <f t="shared" si="1"/>
        <v>Low</v>
      </c>
      <c r="H62">
        <v>6</v>
      </c>
      <c r="I62" t="str">
        <f t="shared" si="2"/>
        <v>Good</v>
      </c>
      <c r="J62">
        <v>30</v>
      </c>
      <c r="K62" s="1">
        <f t="shared" si="3"/>
        <v>1.25</v>
      </c>
      <c r="L62" s="1" t="str">
        <f t="shared" si="4"/>
        <v>Sedentary</v>
      </c>
      <c r="M62">
        <v>8</v>
      </c>
      <c r="N62" t="s">
        <v>19</v>
      </c>
      <c r="O62" t="s">
        <v>20</v>
      </c>
      <c r="P62">
        <v>72</v>
      </c>
      <c r="Q62">
        <v>5000</v>
      </c>
      <c r="R62" t="str">
        <f t="shared" si="5"/>
        <v>Half Achieved</v>
      </c>
      <c r="S62" t="s">
        <v>17</v>
      </c>
    </row>
    <row r="63" spans="1:19" x14ac:dyDescent="0.25">
      <c r="A63">
        <v>62</v>
      </c>
      <c r="B63" t="s">
        <v>13</v>
      </c>
      <c r="C63">
        <v>32</v>
      </c>
      <c r="D63" t="str">
        <f t="shared" si="0"/>
        <v>30's</v>
      </c>
      <c r="E63" t="s">
        <v>18</v>
      </c>
      <c r="F63">
        <v>6</v>
      </c>
      <c r="G63" t="str">
        <f t="shared" si="1"/>
        <v>Low</v>
      </c>
      <c r="H63">
        <v>6</v>
      </c>
      <c r="I63" t="str">
        <f t="shared" si="2"/>
        <v>Good</v>
      </c>
      <c r="J63">
        <v>30</v>
      </c>
      <c r="K63" s="1">
        <f t="shared" si="3"/>
        <v>1.25</v>
      </c>
      <c r="L63" s="1" t="str">
        <f t="shared" si="4"/>
        <v>Sedentary</v>
      </c>
      <c r="M63">
        <v>8</v>
      </c>
      <c r="N63" t="s">
        <v>19</v>
      </c>
      <c r="O63" t="s">
        <v>20</v>
      </c>
      <c r="P63">
        <v>72</v>
      </c>
      <c r="Q63">
        <v>5000</v>
      </c>
      <c r="R63" t="str">
        <f t="shared" si="5"/>
        <v>Half Achieved</v>
      </c>
      <c r="S63" t="s">
        <v>17</v>
      </c>
    </row>
    <row r="64" spans="1:19" x14ac:dyDescent="0.25">
      <c r="A64">
        <v>63</v>
      </c>
      <c r="B64" t="s">
        <v>13</v>
      </c>
      <c r="C64">
        <v>32</v>
      </c>
      <c r="D64" t="str">
        <f t="shared" si="0"/>
        <v>30's</v>
      </c>
      <c r="E64" t="s">
        <v>18</v>
      </c>
      <c r="F64">
        <v>6.2</v>
      </c>
      <c r="G64" t="str">
        <f t="shared" si="1"/>
        <v>Low</v>
      </c>
      <c r="H64">
        <v>6</v>
      </c>
      <c r="I64" t="str">
        <f t="shared" si="2"/>
        <v>Good</v>
      </c>
      <c r="J64">
        <v>30</v>
      </c>
      <c r="K64" s="1">
        <f t="shared" si="3"/>
        <v>1.25</v>
      </c>
      <c r="L64" s="1" t="str">
        <f t="shared" si="4"/>
        <v>Sedentary</v>
      </c>
      <c r="M64">
        <v>8</v>
      </c>
      <c r="N64" t="s">
        <v>19</v>
      </c>
      <c r="O64" t="s">
        <v>20</v>
      </c>
      <c r="P64">
        <v>72</v>
      </c>
      <c r="Q64">
        <v>5000</v>
      </c>
      <c r="R64" t="str">
        <f t="shared" si="5"/>
        <v>Half Achieved</v>
      </c>
      <c r="S64" t="s">
        <v>17</v>
      </c>
    </row>
    <row r="65" spans="1:19" x14ac:dyDescent="0.25">
      <c r="A65">
        <v>64</v>
      </c>
      <c r="B65" t="s">
        <v>13</v>
      </c>
      <c r="C65">
        <v>32</v>
      </c>
      <c r="D65" t="str">
        <f t="shared" si="0"/>
        <v>30's</v>
      </c>
      <c r="E65" t="s">
        <v>18</v>
      </c>
      <c r="F65">
        <v>6.2</v>
      </c>
      <c r="G65" t="str">
        <f t="shared" si="1"/>
        <v>Low</v>
      </c>
      <c r="H65">
        <v>6</v>
      </c>
      <c r="I65" t="str">
        <f t="shared" si="2"/>
        <v>Good</v>
      </c>
      <c r="J65">
        <v>30</v>
      </c>
      <c r="K65" s="1">
        <f t="shared" si="3"/>
        <v>1.25</v>
      </c>
      <c r="L65" s="1" t="str">
        <f t="shared" si="4"/>
        <v>Sedentary</v>
      </c>
      <c r="M65">
        <v>8</v>
      </c>
      <c r="N65" t="s">
        <v>19</v>
      </c>
      <c r="O65" t="s">
        <v>20</v>
      </c>
      <c r="P65">
        <v>72</v>
      </c>
      <c r="Q65">
        <v>5000</v>
      </c>
      <c r="R65" t="str">
        <f t="shared" si="5"/>
        <v>Half Achieved</v>
      </c>
      <c r="S65" t="s">
        <v>17</v>
      </c>
    </row>
    <row r="66" spans="1:19" x14ac:dyDescent="0.25">
      <c r="A66">
        <v>65</v>
      </c>
      <c r="B66" t="s">
        <v>13</v>
      </c>
      <c r="C66">
        <v>32</v>
      </c>
      <c r="D66" t="str">
        <f t="shared" si="0"/>
        <v>30's</v>
      </c>
      <c r="E66" t="s">
        <v>18</v>
      </c>
      <c r="F66">
        <v>6.2</v>
      </c>
      <c r="G66" t="str">
        <f t="shared" si="1"/>
        <v>Low</v>
      </c>
      <c r="H66">
        <v>6</v>
      </c>
      <c r="I66" t="str">
        <f t="shared" si="2"/>
        <v>Good</v>
      </c>
      <c r="J66">
        <v>30</v>
      </c>
      <c r="K66" s="1">
        <f t="shared" si="3"/>
        <v>1.25</v>
      </c>
      <c r="L66" s="1" t="str">
        <f t="shared" si="4"/>
        <v>Sedentary</v>
      </c>
      <c r="M66">
        <v>8</v>
      </c>
      <c r="N66" t="s">
        <v>19</v>
      </c>
      <c r="O66" t="s">
        <v>20</v>
      </c>
      <c r="P66">
        <v>72</v>
      </c>
      <c r="Q66">
        <v>5000</v>
      </c>
      <c r="R66" t="str">
        <f t="shared" si="5"/>
        <v>Half Achieved</v>
      </c>
      <c r="S66" t="s">
        <v>17</v>
      </c>
    </row>
    <row r="67" spans="1:19" x14ac:dyDescent="0.25">
      <c r="A67">
        <v>66</v>
      </c>
      <c r="B67" t="s">
        <v>13</v>
      </c>
      <c r="C67">
        <v>32</v>
      </c>
      <c r="D67" t="str">
        <f t="shared" ref="D67:D130" si="6">IF(C67&lt;=29,"20's",(IF(C67&lt;=39,"30's",(IF(C67&lt;=49,"40's","50's")))))</f>
        <v>30's</v>
      </c>
      <c r="E67" t="s">
        <v>18</v>
      </c>
      <c r="F67">
        <v>6.2</v>
      </c>
      <c r="G67" t="str">
        <f t="shared" ref="G67:G130" si="7">IF(F67&lt;6,"Very low",(IF(F67&gt;=7,"Good","Low")))</f>
        <v>Low</v>
      </c>
      <c r="H67">
        <v>6</v>
      </c>
      <c r="I67" t="str">
        <f t="shared" ref="I67:I130" si="8">IF(H67&gt;=5,"Good","Poor")</f>
        <v>Good</v>
      </c>
      <c r="J67">
        <v>30</v>
      </c>
      <c r="K67" s="1">
        <f t="shared" ref="K67:K130" si="9">J67/24</f>
        <v>1.25</v>
      </c>
      <c r="L67" s="1" t="str">
        <f t="shared" ref="L67:L130" si="10">IF(K67&lt;=1.7,"Sedentary",(IF(K67&gt;=2,"Highly Active","Active")))</f>
        <v>Sedentary</v>
      </c>
      <c r="M67">
        <v>8</v>
      </c>
      <c r="N67" t="s">
        <v>19</v>
      </c>
      <c r="O67" t="s">
        <v>20</v>
      </c>
      <c r="P67">
        <v>72</v>
      </c>
      <c r="Q67">
        <v>5000</v>
      </c>
      <c r="R67" t="str">
        <f t="shared" ref="R67:R130" si="11">IF(Q67=10000,"Steps Achieved",(IF(Q67&gt;=5000,"Half Achieved","Partially Achieved")))</f>
        <v>Half Achieved</v>
      </c>
      <c r="S67" t="s">
        <v>17</v>
      </c>
    </row>
    <row r="68" spans="1:19" x14ac:dyDescent="0.25">
      <c r="A68">
        <v>67</v>
      </c>
      <c r="B68" t="s">
        <v>13</v>
      </c>
      <c r="C68">
        <v>32</v>
      </c>
      <c r="D68" t="str">
        <f t="shared" si="6"/>
        <v>30's</v>
      </c>
      <c r="E68" t="s">
        <v>34</v>
      </c>
      <c r="F68">
        <v>7.2</v>
      </c>
      <c r="G68" t="str">
        <f t="shared" si="7"/>
        <v>Good</v>
      </c>
      <c r="H68">
        <v>8</v>
      </c>
      <c r="I68" t="str">
        <f t="shared" si="8"/>
        <v>Good</v>
      </c>
      <c r="J68">
        <v>50</v>
      </c>
      <c r="K68" s="1">
        <f t="shared" si="9"/>
        <v>2.0833333333333335</v>
      </c>
      <c r="L68" s="1" t="str">
        <f t="shared" si="10"/>
        <v>Highly Active</v>
      </c>
      <c r="M68">
        <v>6</v>
      </c>
      <c r="N68" t="s">
        <v>19</v>
      </c>
      <c r="O68" t="s">
        <v>35</v>
      </c>
      <c r="P68">
        <v>68</v>
      </c>
      <c r="Q68">
        <v>7000</v>
      </c>
      <c r="R68" t="str">
        <f t="shared" si="11"/>
        <v>Half Achieved</v>
      </c>
      <c r="S68" t="s">
        <v>17</v>
      </c>
    </row>
    <row r="69" spans="1:19" x14ac:dyDescent="0.25">
      <c r="A69">
        <v>68</v>
      </c>
      <c r="B69" t="s">
        <v>13</v>
      </c>
      <c r="C69">
        <v>33</v>
      </c>
      <c r="D69" t="str">
        <f t="shared" si="6"/>
        <v>30's</v>
      </c>
      <c r="E69" t="s">
        <v>18</v>
      </c>
      <c r="F69">
        <v>6</v>
      </c>
      <c r="G69" t="str">
        <f t="shared" si="7"/>
        <v>Low</v>
      </c>
      <c r="H69">
        <v>6</v>
      </c>
      <c r="I69" t="str">
        <f t="shared" si="8"/>
        <v>Good</v>
      </c>
      <c r="J69">
        <v>30</v>
      </c>
      <c r="K69" s="1">
        <f t="shared" si="9"/>
        <v>1.25</v>
      </c>
      <c r="L69" s="1" t="str">
        <f t="shared" si="10"/>
        <v>Sedentary</v>
      </c>
      <c r="M69">
        <v>8</v>
      </c>
      <c r="N69" t="s">
        <v>19</v>
      </c>
      <c r="O69" t="s">
        <v>20</v>
      </c>
      <c r="P69">
        <v>72</v>
      </c>
      <c r="Q69">
        <v>5000</v>
      </c>
      <c r="R69" t="str">
        <f t="shared" si="11"/>
        <v>Half Achieved</v>
      </c>
      <c r="S69" t="s">
        <v>25</v>
      </c>
    </row>
    <row r="70" spans="1:19" x14ac:dyDescent="0.25">
      <c r="A70">
        <v>69</v>
      </c>
      <c r="B70" t="s">
        <v>28</v>
      </c>
      <c r="C70">
        <v>33</v>
      </c>
      <c r="D70" t="str">
        <f t="shared" si="6"/>
        <v>30's</v>
      </c>
      <c r="E70" t="s">
        <v>36</v>
      </c>
      <c r="F70">
        <v>6.2</v>
      </c>
      <c r="G70" t="str">
        <f t="shared" si="7"/>
        <v>Low</v>
      </c>
      <c r="H70">
        <v>6</v>
      </c>
      <c r="I70" t="str">
        <f t="shared" si="8"/>
        <v>Good</v>
      </c>
      <c r="J70">
        <v>50</v>
      </c>
      <c r="K70" s="1">
        <f t="shared" si="9"/>
        <v>2.0833333333333335</v>
      </c>
      <c r="L70" s="1" t="str">
        <f t="shared" si="10"/>
        <v>Highly Active</v>
      </c>
      <c r="M70">
        <v>6</v>
      </c>
      <c r="N70" t="s">
        <v>15</v>
      </c>
      <c r="O70" t="s">
        <v>37</v>
      </c>
      <c r="P70">
        <v>76</v>
      </c>
      <c r="Q70">
        <v>5500</v>
      </c>
      <c r="R70" t="str">
        <f t="shared" si="11"/>
        <v>Half Achieved</v>
      </c>
      <c r="S70" t="s">
        <v>17</v>
      </c>
    </row>
    <row r="71" spans="1:19" x14ac:dyDescent="0.25">
      <c r="A71">
        <v>70</v>
      </c>
      <c r="B71" t="s">
        <v>28</v>
      </c>
      <c r="C71">
        <v>33</v>
      </c>
      <c r="D71" t="str">
        <f t="shared" si="6"/>
        <v>30's</v>
      </c>
      <c r="E71" t="s">
        <v>36</v>
      </c>
      <c r="F71">
        <v>6.2</v>
      </c>
      <c r="G71" t="str">
        <f t="shared" si="7"/>
        <v>Low</v>
      </c>
      <c r="H71">
        <v>6</v>
      </c>
      <c r="I71" t="str">
        <f t="shared" si="8"/>
        <v>Good</v>
      </c>
      <c r="J71">
        <v>50</v>
      </c>
      <c r="K71" s="1">
        <f t="shared" si="9"/>
        <v>2.0833333333333335</v>
      </c>
      <c r="L71" s="1" t="str">
        <f t="shared" si="10"/>
        <v>Highly Active</v>
      </c>
      <c r="M71">
        <v>6</v>
      </c>
      <c r="N71" t="s">
        <v>15</v>
      </c>
      <c r="O71" t="s">
        <v>37</v>
      </c>
      <c r="P71">
        <v>76</v>
      </c>
      <c r="Q71">
        <v>5500</v>
      </c>
      <c r="R71" t="str">
        <f t="shared" si="11"/>
        <v>Half Achieved</v>
      </c>
      <c r="S71" t="s">
        <v>17</v>
      </c>
    </row>
    <row r="72" spans="1:19" x14ac:dyDescent="0.25">
      <c r="A72">
        <v>71</v>
      </c>
      <c r="B72" t="s">
        <v>13</v>
      </c>
      <c r="C72">
        <v>33</v>
      </c>
      <c r="D72" t="str">
        <f t="shared" si="6"/>
        <v>30's</v>
      </c>
      <c r="E72" t="s">
        <v>18</v>
      </c>
      <c r="F72">
        <v>6.1</v>
      </c>
      <c r="G72" t="str">
        <f t="shared" si="7"/>
        <v>Low</v>
      </c>
      <c r="H72">
        <v>6</v>
      </c>
      <c r="I72" t="str">
        <f t="shared" si="8"/>
        <v>Good</v>
      </c>
      <c r="J72">
        <v>30</v>
      </c>
      <c r="K72" s="1">
        <f t="shared" si="9"/>
        <v>1.25</v>
      </c>
      <c r="L72" s="1" t="str">
        <f t="shared" si="10"/>
        <v>Sedentary</v>
      </c>
      <c r="M72">
        <v>8</v>
      </c>
      <c r="N72" t="s">
        <v>19</v>
      </c>
      <c r="O72" t="s">
        <v>20</v>
      </c>
      <c r="P72">
        <v>72</v>
      </c>
      <c r="Q72">
        <v>5000</v>
      </c>
      <c r="R72" t="str">
        <f t="shared" si="11"/>
        <v>Half Achieved</v>
      </c>
      <c r="S72" t="s">
        <v>17</v>
      </c>
    </row>
    <row r="73" spans="1:19" x14ac:dyDescent="0.25">
      <c r="A73">
        <v>72</v>
      </c>
      <c r="B73" t="s">
        <v>13</v>
      </c>
      <c r="C73">
        <v>33</v>
      </c>
      <c r="D73" t="str">
        <f t="shared" si="6"/>
        <v>30's</v>
      </c>
      <c r="E73" t="s">
        <v>18</v>
      </c>
      <c r="F73">
        <v>6.1</v>
      </c>
      <c r="G73" t="str">
        <f t="shared" si="7"/>
        <v>Low</v>
      </c>
      <c r="H73">
        <v>6</v>
      </c>
      <c r="I73" t="str">
        <f t="shared" si="8"/>
        <v>Good</v>
      </c>
      <c r="J73">
        <v>30</v>
      </c>
      <c r="K73" s="1">
        <f t="shared" si="9"/>
        <v>1.25</v>
      </c>
      <c r="L73" s="1" t="str">
        <f t="shared" si="10"/>
        <v>Sedentary</v>
      </c>
      <c r="M73">
        <v>8</v>
      </c>
      <c r="N73" t="s">
        <v>19</v>
      </c>
      <c r="O73" t="s">
        <v>20</v>
      </c>
      <c r="P73">
        <v>72</v>
      </c>
      <c r="Q73">
        <v>5000</v>
      </c>
      <c r="R73" t="str">
        <f t="shared" si="11"/>
        <v>Half Achieved</v>
      </c>
      <c r="S73" t="s">
        <v>17</v>
      </c>
    </row>
    <row r="74" spans="1:19" x14ac:dyDescent="0.25">
      <c r="A74">
        <v>73</v>
      </c>
      <c r="B74" t="s">
        <v>13</v>
      </c>
      <c r="C74">
        <v>33</v>
      </c>
      <c r="D74" t="str">
        <f t="shared" si="6"/>
        <v>30's</v>
      </c>
      <c r="E74" t="s">
        <v>18</v>
      </c>
      <c r="F74">
        <v>6.1</v>
      </c>
      <c r="G74" t="str">
        <f t="shared" si="7"/>
        <v>Low</v>
      </c>
      <c r="H74">
        <v>6</v>
      </c>
      <c r="I74" t="str">
        <f t="shared" si="8"/>
        <v>Good</v>
      </c>
      <c r="J74">
        <v>30</v>
      </c>
      <c r="K74" s="1">
        <f t="shared" si="9"/>
        <v>1.25</v>
      </c>
      <c r="L74" s="1" t="str">
        <f t="shared" si="10"/>
        <v>Sedentary</v>
      </c>
      <c r="M74">
        <v>8</v>
      </c>
      <c r="N74" t="s">
        <v>19</v>
      </c>
      <c r="O74" t="s">
        <v>20</v>
      </c>
      <c r="P74">
        <v>72</v>
      </c>
      <c r="Q74">
        <v>5000</v>
      </c>
      <c r="R74" t="str">
        <f t="shared" si="11"/>
        <v>Half Achieved</v>
      </c>
      <c r="S74" t="s">
        <v>17</v>
      </c>
    </row>
    <row r="75" spans="1:19" x14ac:dyDescent="0.25">
      <c r="A75">
        <v>74</v>
      </c>
      <c r="B75" t="s">
        <v>13</v>
      </c>
      <c r="C75">
        <v>33</v>
      </c>
      <c r="D75" t="str">
        <f t="shared" si="6"/>
        <v>30's</v>
      </c>
      <c r="E75" t="s">
        <v>18</v>
      </c>
      <c r="F75">
        <v>6.1</v>
      </c>
      <c r="G75" t="str">
        <f t="shared" si="7"/>
        <v>Low</v>
      </c>
      <c r="H75">
        <v>6</v>
      </c>
      <c r="I75" t="str">
        <f t="shared" si="8"/>
        <v>Good</v>
      </c>
      <c r="J75">
        <v>30</v>
      </c>
      <c r="K75" s="1">
        <f t="shared" si="9"/>
        <v>1.25</v>
      </c>
      <c r="L75" s="1" t="str">
        <f t="shared" si="10"/>
        <v>Sedentary</v>
      </c>
      <c r="M75">
        <v>8</v>
      </c>
      <c r="N75" t="s">
        <v>19</v>
      </c>
      <c r="O75" t="s">
        <v>20</v>
      </c>
      <c r="P75">
        <v>72</v>
      </c>
      <c r="Q75">
        <v>5000</v>
      </c>
      <c r="R75" t="str">
        <f t="shared" si="11"/>
        <v>Half Achieved</v>
      </c>
      <c r="S75" t="s">
        <v>17</v>
      </c>
    </row>
    <row r="76" spans="1:19" x14ac:dyDescent="0.25">
      <c r="A76">
        <v>75</v>
      </c>
      <c r="B76" t="s">
        <v>13</v>
      </c>
      <c r="C76">
        <v>33</v>
      </c>
      <c r="D76" t="str">
        <f t="shared" si="6"/>
        <v>30's</v>
      </c>
      <c r="E76" t="s">
        <v>18</v>
      </c>
      <c r="F76">
        <v>6</v>
      </c>
      <c r="G76" t="str">
        <f t="shared" si="7"/>
        <v>Low</v>
      </c>
      <c r="H76">
        <v>6</v>
      </c>
      <c r="I76" t="str">
        <f t="shared" si="8"/>
        <v>Good</v>
      </c>
      <c r="J76">
        <v>30</v>
      </c>
      <c r="K76" s="1">
        <f t="shared" si="9"/>
        <v>1.25</v>
      </c>
      <c r="L76" s="1" t="str">
        <f t="shared" si="10"/>
        <v>Sedentary</v>
      </c>
      <c r="M76">
        <v>8</v>
      </c>
      <c r="N76" t="s">
        <v>19</v>
      </c>
      <c r="O76" t="s">
        <v>20</v>
      </c>
      <c r="P76">
        <v>72</v>
      </c>
      <c r="Q76">
        <v>5000</v>
      </c>
      <c r="R76" t="str">
        <f t="shared" si="11"/>
        <v>Half Achieved</v>
      </c>
      <c r="S76" t="s">
        <v>17</v>
      </c>
    </row>
    <row r="77" spans="1:19" x14ac:dyDescent="0.25">
      <c r="A77">
        <v>76</v>
      </c>
      <c r="B77" t="s">
        <v>13</v>
      </c>
      <c r="C77">
        <v>33</v>
      </c>
      <c r="D77" t="str">
        <f t="shared" si="6"/>
        <v>30's</v>
      </c>
      <c r="E77" t="s">
        <v>18</v>
      </c>
      <c r="F77">
        <v>6</v>
      </c>
      <c r="G77" t="str">
        <f t="shared" si="7"/>
        <v>Low</v>
      </c>
      <c r="H77">
        <v>6</v>
      </c>
      <c r="I77" t="str">
        <f t="shared" si="8"/>
        <v>Good</v>
      </c>
      <c r="J77">
        <v>30</v>
      </c>
      <c r="K77" s="1">
        <f t="shared" si="9"/>
        <v>1.25</v>
      </c>
      <c r="L77" s="1" t="str">
        <f t="shared" si="10"/>
        <v>Sedentary</v>
      </c>
      <c r="M77">
        <v>8</v>
      </c>
      <c r="N77" t="s">
        <v>19</v>
      </c>
      <c r="O77" t="s">
        <v>20</v>
      </c>
      <c r="P77">
        <v>72</v>
      </c>
      <c r="Q77">
        <v>5000</v>
      </c>
      <c r="R77" t="str">
        <f t="shared" si="11"/>
        <v>Half Achieved</v>
      </c>
      <c r="S77" t="s">
        <v>17</v>
      </c>
    </row>
    <row r="78" spans="1:19" x14ac:dyDescent="0.25">
      <c r="A78">
        <v>77</v>
      </c>
      <c r="B78" t="s">
        <v>13</v>
      </c>
      <c r="C78">
        <v>33</v>
      </c>
      <c r="D78" t="str">
        <f t="shared" si="6"/>
        <v>30's</v>
      </c>
      <c r="E78" t="s">
        <v>18</v>
      </c>
      <c r="F78">
        <v>6</v>
      </c>
      <c r="G78" t="str">
        <f t="shared" si="7"/>
        <v>Low</v>
      </c>
      <c r="H78">
        <v>6</v>
      </c>
      <c r="I78" t="str">
        <f t="shared" si="8"/>
        <v>Good</v>
      </c>
      <c r="J78">
        <v>30</v>
      </c>
      <c r="K78" s="1">
        <f t="shared" si="9"/>
        <v>1.25</v>
      </c>
      <c r="L78" s="1" t="str">
        <f t="shared" si="10"/>
        <v>Sedentary</v>
      </c>
      <c r="M78">
        <v>8</v>
      </c>
      <c r="N78" t="s">
        <v>19</v>
      </c>
      <c r="O78" t="s">
        <v>20</v>
      </c>
      <c r="P78">
        <v>72</v>
      </c>
      <c r="Q78">
        <v>5000</v>
      </c>
      <c r="R78" t="str">
        <f t="shared" si="11"/>
        <v>Half Achieved</v>
      </c>
      <c r="S78" t="s">
        <v>17</v>
      </c>
    </row>
    <row r="79" spans="1:19" x14ac:dyDescent="0.25">
      <c r="A79">
        <v>78</v>
      </c>
      <c r="B79" t="s">
        <v>13</v>
      </c>
      <c r="C79">
        <v>33</v>
      </c>
      <c r="D79" t="str">
        <f t="shared" si="6"/>
        <v>30's</v>
      </c>
      <c r="E79" t="s">
        <v>18</v>
      </c>
      <c r="F79">
        <v>6</v>
      </c>
      <c r="G79" t="str">
        <f t="shared" si="7"/>
        <v>Low</v>
      </c>
      <c r="H79">
        <v>6</v>
      </c>
      <c r="I79" t="str">
        <f t="shared" si="8"/>
        <v>Good</v>
      </c>
      <c r="J79">
        <v>30</v>
      </c>
      <c r="K79" s="1">
        <f t="shared" si="9"/>
        <v>1.25</v>
      </c>
      <c r="L79" s="1" t="str">
        <f t="shared" si="10"/>
        <v>Sedentary</v>
      </c>
      <c r="M79">
        <v>8</v>
      </c>
      <c r="N79" t="s">
        <v>19</v>
      </c>
      <c r="O79" t="s">
        <v>20</v>
      </c>
      <c r="P79">
        <v>72</v>
      </c>
      <c r="Q79">
        <v>5000</v>
      </c>
      <c r="R79" t="str">
        <f t="shared" si="11"/>
        <v>Half Achieved</v>
      </c>
      <c r="S79" t="s">
        <v>17</v>
      </c>
    </row>
    <row r="80" spans="1:19" x14ac:dyDescent="0.25">
      <c r="A80">
        <v>79</v>
      </c>
      <c r="B80" t="s">
        <v>13</v>
      </c>
      <c r="C80">
        <v>33</v>
      </c>
      <c r="D80" t="str">
        <f t="shared" si="6"/>
        <v>30's</v>
      </c>
      <c r="E80" t="s">
        <v>18</v>
      </c>
      <c r="F80">
        <v>6</v>
      </c>
      <c r="G80" t="str">
        <f t="shared" si="7"/>
        <v>Low</v>
      </c>
      <c r="H80">
        <v>6</v>
      </c>
      <c r="I80" t="str">
        <f t="shared" si="8"/>
        <v>Good</v>
      </c>
      <c r="J80">
        <v>30</v>
      </c>
      <c r="K80" s="1">
        <f t="shared" si="9"/>
        <v>1.25</v>
      </c>
      <c r="L80" s="1" t="str">
        <f t="shared" si="10"/>
        <v>Sedentary</v>
      </c>
      <c r="M80">
        <v>8</v>
      </c>
      <c r="N80" t="s">
        <v>19</v>
      </c>
      <c r="O80" t="s">
        <v>20</v>
      </c>
      <c r="P80">
        <v>72</v>
      </c>
      <c r="Q80">
        <v>5000</v>
      </c>
      <c r="R80" t="str">
        <f t="shared" si="11"/>
        <v>Half Achieved</v>
      </c>
      <c r="S80" t="s">
        <v>17</v>
      </c>
    </row>
    <row r="81" spans="1:19" x14ac:dyDescent="0.25">
      <c r="A81">
        <v>80</v>
      </c>
      <c r="B81" t="s">
        <v>13</v>
      </c>
      <c r="C81">
        <v>33</v>
      </c>
      <c r="D81" t="str">
        <f t="shared" si="6"/>
        <v>30's</v>
      </c>
      <c r="E81" t="s">
        <v>18</v>
      </c>
      <c r="F81">
        <v>6</v>
      </c>
      <c r="G81" t="str">
        <f t="shared" si="7"/>
        <v>Low</v>
      </c>
      <c r="H81">
        <v>6</v>
      </c>
      <c r="I81" t="str">
        <f t="shared" si="8"/>
        <v>Good</v>
      </c>
      <c r="J81">
        <v>30</v>
      </c>
      <c r="K81" s="1">
        <f t="shared" si="9"/>
        <v>1.25</v>
      </c>
      <c r="L81" s="1" t="str">
        <f t="shared" si="10"/>
        <v>Sedentary</v>
      </c>
      <c r="M81">
        <v>8</v>
      </c>
      <c r="N81" t="s">
        <v>19</v>
      </c>
      <c r="O81" t="s">
        <v>20</v>
      </c>
      <c r="P81">
        <v>72</v>
      </c>
      <c r="Q81">
        <v>5000</v>
      </c>
      <c r="R81" t="str">
        <f t="shared" si="11"/>
        <v>Half Achieved</v>
      </c>
      <c r="S81" t="s">
        <v>17</v>
      </c>
    </row>
    <row r="82" spans="1:19" x14ac:dyDescent="0.25">
      <c r="A82">
        <v>81</v>
      </c>
      <c r="B82" t="s">
        <v>28</v>
      </c>
      <c r="C82">
        <v>34</v>
      </c>
      <c r="D82" t="str">
        <f t="shared" si="6"/>
        <v>30's</v>
      </c>
      <c r="E82" t="s">
        <v>36</v>
      </c>
      <c r="F82">
        <v>5.8</v>
      </c>
      <c r="G82" t="str">
        <f t="shared" si="7"/>
        <v>Very low</v>
      </c>
      <c r="H82">
        <v>4</v>
      </c>
      <c r="I82" t="str">
        <f t="shared" si="8"/>
        <v>Poor</v>
      </c>
      <c r="J82">
        <v>32</v>
      </c>
      <c r="K82" s="1">
        <f t="shared" si="9"/>
        <v>1.3333333333333333</v>
      </c>
      <c r="L82" s="1" t="str">
        <f t="shared" si="10"/>
        <v>Sedentary</v>
      </c>
      <c r="M82">
        <v>8</v>
      </c>
      <c r="N82" t="s">
        <v>15</v>
      </c>
      <c r="O82" t="s">
        <v>38</v>
      </c>
      <c r="P82">
        <v>81</v>
      </c>
      <c r="Q82">
        <v>5200</v>
      </c>
      <c r="R82" t="str">
        <f t="shared" si="11"/>
        <v>Half Achieved</v>
      </c>
      <c r="S82" t="s">
        <v>24</v>
      </c>
    </row>
    <row r="83" spans="1:19" x14ac:dyDescent="0.25">
      <c r="A83">
        <v>82</v>
      </c>
      <c r="B83" t="s">
        <v>28</v>
      </c>
      <c r="C83">
        <v>34</v>
      </c>
      <c r="D83" t="str">
        <f t="shared" si="6"/>
        <v>30's</v>
      </c>
      <c r="E83" t="s">
        <v>36</v>
      </c>
      <c r="F83">
        <v>5.8</v>
      </c>
      <c r="G83" t="str">
        <f t="shared" si="7"/>
        <v>Very low</v>
      </c>
      <c r="H83">
        <v>4</v>
      </c>
      <c r="I83" t="str">
        <f t="shared" si="8"/>
        <v>Poor</v>
      </c>
      <c r="J83">
        <v>32</v>
      </c>
      <c r="K83" s="1">
        <f t="shared" si="9"/>
        <v>1.3333333333333333</v>
      </c>
      <c r="L83" s="1" t="str">
        <f t="shared" si="10"/>
        <v>Sedentary</v>
      </c>
      <c r="M83">
        <v>8</v>
      </c>
      <c r="N83" t="s">
        <v>15</v>
      </c>
      <c r="O83" t="s">
        <v>38</v>
      </c>
      <c r="P83">
        <v>81</v>
      </c>
      <c r="Q83">
        <v>5200</v>
      </c>
      <c r="R83" t="str">
        <f t="shared" si="11"/>
        <v>Half Achieved</v>
      </c>
      <c r="S83" t="s">
        <v>24</v>
      </c>
    </row>
    <row r="84" spans="1:19" x14ac:dyDescent="0.25">
      <c r="A84">
        <v>83</v>
      </c>
      <c r="B84" t="s">
        <v>13</v>
      </c>
      <c r="C84">
        <v>35</v>
      </c>
      <c r="D84" t="str">
        <f t="shared" si="6"/>
        <v>30's</v>
      </c>
      <c r="E84" t="s">
        <v>26</v>
      </c>
      <c r="F84">
        <v>6.7</v>
      </c>
      <c r="G84" t="str">
        <f t="shared" si="7"/>
        <v>Low</v>
      </c>
      <c r="H84">
        <v>7</v>
      </c>
      <c r="I84" t="str">
        <f t="shared" si="8"/>
        <v>Good</v>
      </c>
      <c r="J84">
        <v>40</v>
      </c>
      <c r="K84" s="1">
        <f t="shared" si="9"/>
        <v>1.6666666666666667</v>
      </c>
      <c r="L84" s="1" t="str">
        <f t="shared" si="10"/>
        <v>Sedentary</v>
      </c>
      <c r="M84">
        <v>5</v>
      </c>
      <c r="N84" t="s">
        <v>15</v>
      </c>
      <c r="O84" t="s">
        <v>39</v>
      </c>
      <c r="P84">
        <v>70</v>
      </c>
      <c r="Q84">
        <v>5600</v>
      </c>
      <c r="R84" t="str">
        <f t="shared" si="11"/>
        <v>Half Achieved</v>
      </c>
      <c r="S84" t="s">
        <v>17</v>
      </c>
    </row>
    <row r="85" spans="1:19" x14ac:dyDescent="0.25">
      <c r="A85">
        <v>84</v>
      </c>
      <c r="B85" t="s">
        <v>13</v>
      </c>
      <c r="C85">
        <v>35</v>
      </c>
      <c r="D85" t="str">
        <f t="shared" si="6"/>
        <v>30's</v>
      </c>
      <c r="E85" t="s">
        <v>26</v>
      </c>
      <c r="F85">
        <v>6.7</v>
      </c>
      <c r="G85" t="str">
        <f t="shared" si="7"/>
        <v>Low</v>
      </c>
      <c r="H85">
        <v>7</v>
      </c>
      <c r="I85" t="str">
        <f t="shared" si="8"/>
        <v>Good</v>
      </c>
      <c r="J85">
        <v>40</v>
      </c>
      <c r="K85" s="1">
        <f t="shared" si="9"/>
        <v>1.6666666666666667</v>
      </c>
      <c r="L85" s="1" t="str">
        <f t="shared" si="10"/>
        <v>Sedentary</v>
      </c>
      <c r="M85">
        <v>5</v>
      </c>
      <c r="N85" t="s">
        <v>15</v>
      </c>
      <c r="O85" t="s">
        <v>39</v>
      </c>
      <c r="P85">
        <v>70</v>
      </c>
      <c r="Q85">
        <v>5600</v>
      </c>
      <c r="R85" t="str">
        <f t="shared" si="11"/>
        <v>Half Achieved</v>
      </c>
      <c r="S85" t="s">
        <v>17</v>
      </c>
    </row>
    <row r="86" spans="1:19" x14ac:dyDescent="0.25">
      <c r="A86">
        <v>85</v>
      </c>
      <c r="B86" t="s">
        <v>13</v>
      </c>
      <c r="C86">
        <v>35</v>
      </c>
      <c r="D86" t="str">
        <f t="shared" si="6"/>
        <v>30's</v>
      </c>
      <c r="E86" t="s">
        <v>14</v>
      </c>
      <c r="F86">
        <v>7.5</v>
      </c>
      <c r="G86" t="str">
        <f t="shared" si="7"/>
        <v>Good</v>
      </c>
      <c r="H86">
        <v>8</v>
      </c>
      <c r="I86" t="str">
        <f t="shared" si="8"/>
        <v>Good</v>
      </c>
      <c r="J86">
        <v>60</v>
      </c>
      <c r="K86" s="1">
        <f t="shared" si="9"/>
        <v>2.5</v>
      </c>
      <c r="L86" s="1" t="str">
        <f t="shared" si="10"/>
        <v>Highly Active</v>
      </c>
      <c r="M86">
        <v>5</v>
      </c>
      <c r="N86" t="s">
        <v>19</v>
      </c>
      <c r="O86" t="s">
        <v>27</v>
      </c>
      <c r="P86">
        <v>70</v>
      </c>
      <c r="Q86">
        <v>8000</v>
      </c>
      <c r="R86" t="str">
        <f t="shared" si="11"/>
        <v>Half Achieved</v>
      </c>
      <c r="S86" t="s">
        <v>17</v>
      </c>
    </row>
    <row r="87" spans="1:19" x14ac:dyDescent="0.25">
      <c r="A87">
        <v>86</v>
      </c>
      <c r="B87" t="s">
        <v>28</v>
      </c>
      <c r="C87">
        <v>35</v>
      </c>
      <c r="D87" t="str">
        <f t="shared" si="6"/>
        <v>30's</v>
      </c>
      <c r="E87" t="s">
        <v>34</v>
      </c>
      <c r="F87">
        <v>7.2</v>
      </c>
      <c r="G87" t="str">
        <f t="shared" si="7"/>
        <v>Good</v>
      </c>
      <c r="H87">
        <v>8</v>
      </c>
      <c r="I87" t="str">
        <f t="shared" si="8"/>
        <v>Good</v>
      </c>
      <c r="J87">
        <v>60</v>
      </c>
      <c r="K87" s="1">
        <f t="shared" si="9"/>
        <v>2.5</v>
      </c>
      <c r="L87" s="1" t="str">
        <f t="shared" si="10"/>
        <v>Highly Active</v>
      </c>
      <c r="M87">
        <v>4</v>
      </c>
      <c r="N87" t="s">
        <v>19</v>
      </c>
      <c r="O87" t="s">
        <v>40</v>
      </c>
      <c r="P87">
        <v>68</v>
      </c>
      <c r="Q87">
        <v>7000</v>
      </c>
      <c r="R87" t="str">
        <f t="shared" si="11"/>
        <v>Half Achieved</v>
      </c>
      <c r="S87" t="s">
        <v>17</v>
      </c>
    </row>
    <row r="88" spans="1:19" x14ac:dyDescent="0.25">
      <c r="A88">
        <v>87</v>
      </c>
      <c r="B88" t="s">
        <v>13</v>
      </c>
      <c r="C88">
        <v>35</v>
      </c>
      <c r="D88" t="str">
        <f t="shared" si="6"/>
        <v>30's</v>
      </c>
      <c r="E88" t="s">
        <v>33</v>
      </c>
      <c r="F88">
        <v>7.2</v>
      </c>
      <c r="G88" t="str">
        <f t="shared" si="7"/>
        <v>Good</v>
      </c>
      <c r="H88">
        <v>8</v>
      </c>
      <c r="I88" t="str">
        <f t="shared" si="8"/>
        <v>Good</v>
      </c>
      <c r="J88">
        <v>60</v>
      </c>
      <c r="K88" s="1">
        <f t="shared" si="9"/>
        <v>2.5</v>
      </c>
      <c r="L88" s="1" t="str">
        <f t="shared" si="10"/>
        <v>Highly Active</v>
      </c>
      <c r="M88">
        <v>4</v>
      </c>
      <c r="N88" t="s">
        <v>19</v>
      </c>
      <c r="O88" t="s">
        <v>20</v>
      </c>
      <c r="P88">
        <v>65</v>
      </c>
      <c r="Q88">
        <v>5000</v>
      </c>
      <c r="R88" t="str">
        <f t="shared" si="11"/>
        <v>Half Achieved</v>
      </c>
      <c r="S88" t="s">
        <v>17</v>
      </c>
    </row>
    <row r="89" spans="1:19" x14ac:dyDescent="0.25">
      <c r="A89">
        <v>88</v>
      </c>
      <c r="B89" t="s">
        <v>13</v>
      </c>
      <c r="C89">
        <v>35</v>
      </c>
      <c r="D89" t="str">
        <f t="shared" si="6"/>
        <v>30's</v>
      </c>
      <c r="E89" t="s">
        <v>33</v>
      </c>
      <c r="F89">
        <v>7.2</v>
      </c>
      <c r="G89" t="str">
        <f t="shared" si="7"/>
        <v>Good</v>
      </c>
      <c r="H89">
        <v>8</v>
      </c>
      <c r="I89" t="str">
        <f t="shared" si="8"/>
        <v>Good</v>
      </c>
      <c r="J89">
        <v>60</v>
      </c>
      <c r="K89" s="1">
        <f t="shared" si="9"/>
        <v>2.5</v>
      </c>
      <c r="L89" s="1" t="str">
        <f t="shared" si="10"/>
        <v>Highly Active</v>
      </c>
      <c r="M89">
        <v>4</v>
      </c>
      <c r="N89" t="s">
        <v>19</v>
      </c>
      <c r="O89" t="s">
        <v>20</v>
      </c>
      <c r="P89">
        <v>65</v>
      </c>
      <c r="Q89">
        <v>5000</v>
      </c>
      <c r="R89" t="str">
        <f t="shared" si="11"/>
        <v>Half Achieved</v>
      </c>
      <c r="S89" t="s">
        <v>17</v>
      </c>
    </row>
    <row r="90" spans="1:19" x14ac:dyDescent="0.25">
      <c r="A90">
        <v>89</v>
      </c>
      <c r="B90" t="s">
        <v>13</v>
      </c>
      <c r="C90">
        <v>35</v>
      </c>
      <c r="D90" t="str">
        <f t="shared" si="6"/>
        <v>30's</v>
      </c>
      <c r="E90" t="s">
        <v>33</v>
      </c>
      <c r="F90">
        <v>7.3</v>
      </c>
      <c r="G90" t="str">
        <f t="shared" si="7"/>
        <v>Good</v>
      </c>
      <c r="H90">
        <v>8</v>
      </c>
      <c r="I90" t="str">
        <f t="shared" si="8"/>
        <v>Good</v>
      </c>
      <c r="J90">
        <v>60</v>
      </c>
      <c r="K90" s="1">
        <f t="shared" si="9"/>
        <v>2.5</v>
      </c>
      <c r="L90" s="1" t="str">
        <f t="shared" si="10"/>
        <v>Highly Active</v>
      </c>
      <c r="M90">
        <v>4</v>
      </c>
      <c r="N90" t="s">
        <v>19</v>
      </c>
      <c r="O90" t="s">
        <v>20</v>
      </c>
      <c r="P90">
        <v>65</v>
      </c>
      <c r="Q90">
        <v>5000</v>
      </c>
      <c r="R90" t="str">
        <f t="shared" si="11"/>
        <v>Half Achieved</v>
      </c>
      <c r="S90" t="s">
        <v>17</v>
      </c>
    </row>
    <row r="91" spans="1:19" x14ac:dyDescent="0.25">
      <c r="A91">
        <v>90</v>
      </c>
      <c r="B91" t="s">
        <v>13</v>
      </c>
      <c r="C91">
        <v>35</v>
      </c>
      <c r="D91" t="str">
        <f t="shared" si="6"/>
        <v>30's</v>
      </c>
      <c r="E91" t="s">
        <v>33</v>
      </c>
      <c r="F91">
        <v>7.3</v>
      </c>
      <c r="G91" t="str">
        <f t="shared" si="7"/>
        <v>Good</v>
      </c>
      <c r="H91">
        <v>8</v>
      </c>
      <c r="I91" t="str">
        <f t="shared" si="8"/>
        <v>Good</v>
      </c>
      <c r="J91">
        <v>60</v>
      </c>
      <c r="K91" s="1">
        <f t="shared" si="9"/>
        <v>2.5</v>
      </c>
      <c r="L91" s="1" t="str">
        <f t="shared" si="10"/>
        <v>Highly Active</v>
      </c>
      <c r="M91">
        <v>4</v>
      </c>
      <c r="N91" t="s">
        <v>19</v>
      </c>
      <c r="O91" t="s">
        <v>20</v>
      </c>
      <c r="P91">
        <v>65</v>
      </c>
      <c r="Q91">
        <v>5000</v>
      </c>
      <c r="R91" t="str">
        <f t="shared" si="11"/>
        <v>Half Achieved</v>
      </c>
      <c r="S91" t="s">
        <v>17</v>
      </c>
    </row>
    <row r="92" spans="1:19" x14ac:dyDescent="0.25">
      <c r="A92">
        <v>91</v>
      </c>
      <c r="B92" t="s">
        <v>13</v>
      </c>
      <c r="C92">
        <v>35</v>
      </c>
      <c r="D92" t="str">
        <f t="shared" si="6"/>
        <v>30's</v>
      </c>
      <c r="E92" t="s">
        <v>33</v>
      </c>
      <c r="F92">
        <v>7.3</v>
      </c>
      <c r="G92" t="str">
        <f t="shared" si="7"/>
        <v>Good</v>
      </c>
      <c r="H92">
        <v>8</v>
      </c>
      <c r="I92" t="str">
        <f t="shared" si="8"/>
        <v>Good</v>
      </c>
      <c r="J92">
        <v>60</v>
      </c>
      <c r="K92" s="1">
        <f t="shared" si="9"/>
        <v>2.5</v>
      </c>
      <c r="L92" s="1" t="str">
        <f t="shared" si="10"/>
        <v>Highly Active</v>
      </c>
      <c r="M92">
        <v>4</v>
      </c>
      <c r="N92" t="s">
        <v>19</v>
      </c>
      <c r="O92" t="s">
        <v>20</v>
      </c>
      <c r="P92">
        <v>65</v>
      </c>
      <c r="Q92">
        <v>5000</v>
      </c>
      <c r="R92" t="str">
        <f t="shared" si="11"/>
        <v>Half Achieved</v>
      </c>
      <c r="S92" t="s">
        <v>17</v>
      </c>
    </row>
    <row r="93" spans="1:19" x14ac:dyDescent="0.25">
      <c r="A93">
        <v>92</v>
      </c>
      <c r="B93" t="s">
        <v>13</v>
      </c>
      <c r="C93">
        <v>35</v>
      </c>
      <c r="D93" t="str">
        <f t="shared" si="6"/>
        <v>30's</v>
      </c>
      <c r="E93" t="s">
        <v>33</v>
      </c>
      <c r="F93">
        <v>7.3</v>
      </c>
      <c r="G93" t="str">
        <f t="shared" si="7"/>
        <v>Good</v>
      </c>
      <c r="H93">
        <v>8</v>
      </c>
      <c r="I93" t="str">
        <f t="shared" si="8"/>
        <v>Good</v>
      </c>
      <c r="J93">
        <v>60</v>
      </c>
      <c r="K93" s="1">
        <f t="shared" si="9"/>
        <v>2.5</v>
      </c>
      <c r="L93" s="1" t="str">
        <f t="shared" si="10"/>
        <v>Highly Active</v>
      </c>
      <c r="M93">
        <v>4</v>
      </c>
      <c r="N93" t="s">
        <v>19</v>
      </c>
      <c r="O93" t="s">
        <v>20</v>
      </c>
      <c r="P93">
        <v>65</v>
      </c>
      <c r="Q93">
        <v>5000</v>
      </c>
      <c r="R93" t="str">
        <f t="shared" si="11"/>
        <v>Half Achieved</v>
      </c>
      <c r="S93" t="s">
        <v>17</v>
      </c>
    </row>
    <row r="94" spans="1:19" x14ac:dyDescent="0.25">
      <c r="A94">
        <v>93</v>
      </c>
      <c r="B94" t="s">
        <v>13</v>
      </c>
      <c r="C94">
        <v>35</v>
      </c>
      <c r="D94" t="str">
        <f t="shared" si="6"/>
        <v>30's</v>
      </c>
      <c r="E94" t="s">
        <v>14</v>
      </c>
      <c r="F94">
        <v>7.5</v>
      </c>
      <c r="G94" t="str">
        <f t="shared" si="7"/>
        <v>Good</v>
      </c>
      <c r="H94">
        <v>8</v>
      </c>
      <c r="I94" t="str">
        <f t="shared" si="8"/>
        <v>Good</v>
      </c>
      <c r="J94">
        <v>60</v>
      </c>
      <c r="K94" s="1">
        <f t="shared" si="9"/>
        <v>2.5</v>
      </c>
      <c r="L94" s="1" t="str">
        <f t="shared" si="10"/>
        <v>Highly Active</v>
      </c>
      <c r="M94">
        <v>5</v>
      </c>
      <c r="N94" t="s">
        <v>19</v>
      </c>
      <c r="O94" t="s">
        <v>27</v>
      </c>
      <c r="P94">
        <v>70</v>
      </c>
      <c r="Q94">
        <v>8000</v>
      </c>
      <c r="R94" t="str">
        <f t="shared" si="11"/>
        <v>Half Achieved</v>
      </c>
      <c r="S94" t="s">
        <v>17</v>
      </c>
    </row>
    <row r="95" spans="1:19" x14ac:dyDescent="0.25">
      <c r="A95">
        <v>94</v>
      </c>
      <c r="B95" t="s">
        <v>13</v>
      </c>
      <c r="C95">
        <v>35</v>
      </c>
      <c r="D95" t="str">
        <f t="shared" si="6"/>
        <v>30's</v>
      </c>
      <c r="E95" t="s">
        <v>41</v>
      </c>
      <c r="F95">
        <v>7.4</v>
      </c>
      <c r="G95" t="str">
        <f t="shared" si="7"/>
        <v>Good</v>
      </c>
      <c r="H95">
        <v>7</v>
      </c>
      <c r="I95" t="str">
        <f t="shared" si="8"/>
        <v>Good</v>
      </c>
      <c r="J95">
        <v>60</v>
      </c>
      <c r="K95" s="1">
        <f t="shared" si="9"/>
        <v>2.5</v>
      </c>
      <c r="L95" s="1" t="str">
        <f t="shared" si="10"/>
        <v>Highly Active</v>
      </c>
      <c r="M95">
        <v>5</v>
      </c>
      <c r="N95" t="s">
        <v>22</v>
      </c>
      <c r="O95" t="s">
        <v>42</v>
      </c>
      <c r="P95">
        <v>84</v>
      </c>
      <c r="Q95">
        <v>3300</v>
      </c>
      <c r="R95" t="str">
        <f t="shared" si="11"/>
        <v>Partially Achieved</v>
      </c>
      <c r="S95" t="s">
        <v>24</v>
      </c>
    </row>
    <row r="96" spans="1:19" x14ac:dyDescent="0.25">
      <c r="A96">
        <v>95</v>
      </c>
      <c r="B96" t="s">
        <v>28</v>
      </c>
      <c r="C96">
        <v>36</v>
      </c>
      <c r="D96" t="str">
        <f t="shared" si="6"/>
        <v>30's</v>
      </c>
      <c r="E96" t="s">
        <v>34</v>
      </c>
      <c r="F96">
        <v>7.2</v>
      </c>
      <c r="G96" t="str">
        <f t="shared" si="7"/>
        <v>Good</v>
      </c>
      <c r="H96">
        <v>8</v>
      </c>
      <c r="I96" t="str">
        <f t="shared" si="8"/>
        <v>Good</v>
      </c>
      <c r="J96">
        <v>60</v>
      </c>
      <c r="K96" s="1">
        <f t="shared" si="9"/>
        <v>2.5</v>
      </c>
      <c r="L96" s="1" t="str">
        <f t="shared" si="10"/>
        <v>Highly Active</v>
      </c>
      <c r="M96">
        <v>4</v>
      </c>
      <c r="N96" t="s">
        <v>19</v>
      </c>
      <c r="O96" t="s">
        <v>40</v>
      </c>
      <c r="P96">
        <v>68</v>
      </c>
      <c r="Q96">
        <v>7000</v>
      </c>
      <c r="R96" t="str">
        <f t="shared" si="11"/>
        <v>Half Achieved</v>
      </c>
      <c r="S96" t="s">
        <v>25</v>
      </c>
    </row>
    <row r="97" spans="1:19" x14ac:dyDescent="0.25">
      <c r="A97">
        <v>96</v>
      </c>
      <c r="B97" t="s">
        <v>28</v>
      </c>
      <c r="C97">
        <v>36</v>
      </c>
      <c r="D97" t="str">
        <f t="shared" si="6"/>
        <v>30's</v>
      </c>
      <c r="E97" t="s">
        <v>34</v>
      </c>
      <c r="F97">
        <v>7.1</v>
      </c>
      <c r="G97" t="str">
        <f t="shared" si="7"/>
        <v>Good</v>
      </c>
      <c r="H97">
        <v>8</v>
      </c>
      <c r="I97" t="str">
        <f t="shared" si="8"/>
        <v>Good</v>
      </c>
      <c r="J97">
        <v>60</v>
      </c>
      <c r="K97" s="1">
        <f t="shared" si="9"/>
        <v>2.5</v>
      </c>
      <c r="L97" s="1" t="str">
        <f t="shared" si="10"/>
        <v>Highly Active</v>
      </c>
      <c r="M97">
        <v>4</v>
      </c>
      <c r="N97" t="s">
        <v>19</v>
      </c>
      <c r="O97" t="s">
        <v>40</v>
      </c>
      <c r="P97">
        <v>68</v>
      </c>
      <c r="Q97">
        <v>7000</v>
      </c>
      <c r="R97" t="str">
        <f t="shared" si="11"/>
        <v>Half Achieved</v>
      </c>
      <c r="S97" t="s">
        <v>17</v>
      </c>
    </row>
    <row r="98" spans="1:19" x14ac:dyDescent="0.25">
      <c r="A98">
        <v>97</v>
      </c>
      <c r="B98" t="s">
        <v>28</v>
      </c>
      <c r="C98">
        <v>36</v>
      </c>
      <c r="D98" t="str">
        <f t="shared" si="6"/>
        <v>30's</v>
      </c>
      <c r="E98" t="s">
        <v>34</v>
      </c>
      <c r="F98">
        <v>7.2</v>
      </c>
      <c r="G98" t="str">
        <f t="shared" si="7"/>
        <v>Good</v>
      </c>
      <c r="H98">
        <v>8</v>
      </c>
      <c r="I98" t="str">
        <f t="shared" si="8"/>
        <v>Good</v>
      </c>
      <c r="J98">
        <v>60</v>
      </c>
      <c r="K98" s="1">
        <f t="shared" si="9"/>
        <v>2.5</v>
      </c>
      <c r="L98" s="1" t="str">
        <f t="shared" si="10"/>
        <v>Highly Active</v>
      </c>
      <c r="M98">
        <v>4</v>
      </c>
      <c r="N98" t="s">
        <v>19</v>
      </c>
      <c r="O98" t="s">
        <v>40</v>
      </c>
      <c r="P98">
        <v>68</v>
      </c>
      <c r="Q98">
        <v>7000</v>
      </c>
      <c r="R98" t="str">
        <f t="shared" si="11"/>
        <v>Half Achieved</v>
      </c>
      <c r="S98" t="s">
        <v>17</v>
      </c>
    </row>
    <row r="99" spans="1:19" x14ac:dyDescent="0.25">
      <c r="A99">
        <v>98</v>
      </c>
      <c r="B99" t="s">
        <v>28</v>
      </c>
      <c r="C99">
        <v>36</v>
      </c>
      <c r="D99" t="str">
        <f t="shared" si="6"/>
        <v>30's</v>
      </c>
      <c r="E99" t="s">
        <v>34</v>
      </c>
      <c r="F99">
        <v>7.1</v>
      </c>
      <c r="G99" t="str">
        <f t="shared" si="7"/>
        <v>Good</v>
      </c>
      <c r="H99">
        <v>8</v>
      </c>
      <c r="I99" t="str">
        <f t="shared" si="8"/>
        <v>Good</v>
      </c>
      <c r="J99">
        <v>60</v>
      </c>
      <c r="K99" s="1">
        <f t="shared" si="9"/>
        <v>2.5</v>
      </c>
      <c r="L99" s="1" t="str">
        <f t="shared" si="10"/>
        <v>Highly Active</v>
      </c>
      <c r="M99">
        <v>4</v>
      </c>
      <c r="N99" t="s">
        <v>19</v>
      </c>
      <c r="O99" t="s">
        <v>40</v>
      </c>
      <c r="P99">
        <v>68</v>
      </c>
      <c r="Q99">
        <v>7000</v>
      </c>
      <c r="R99" t="str">
        <f t="shared" si="11"/>
        <v>Half Achieved</v>
      </c>
      <c r="S99" t="s">
        <v>17</v>
      </c>
    </row>
    <row r="100" spans="1:19" x14ac:dyDescent="0.25">
      <c r="A100">
        <v>99</v>
      </c>
      <c r="B100" t="s">
        <v>28</v>
      </c>
      <c r="C100">
        <v>36</v>
      </c>
      <c r="D100" t="str">
        <f t="shared" si="6"/>
        <v>30's</v>
      </c>
      <c r="E100" t="s">
        <v>26</v>
      </c>
      <c r="F100">
        <v>7.1</v>
      </c>
      <c r="G100" t="str">
        <f t="shared" si="7"/>
        <v>Good</v>
      </c>
      <c r="H100">
        <v>8</v>
      </c>
      <c r="I100" t="str">
        <f t="shared" si="8"/>
        <v>Good</v>
      </c>
      <c r="J100">
        <v>60</v>
      </c>
      <c r="K100" s="1">
        <f t="shared" si="9"/>
        <v>2.5</v>
      </c>
      <c r="L100" s="1" t="str">
        <f t="shared" si="10"/>
        <v>Highly Active</v>
      </c>
      <c r="M100">
        <v>4</v>
      </c>
      <c r="N100" t="s">
        <v>19</v>
      </c>
      <c r="O100" t="s">
        <v>40</v>
      </c>
      <c r="P100">
        <v>68</v>
      </c>
      <c r="Q100">
        <v>7000</v>
      </c>
      <c r="R100" t="str">
        <f t="shared" si="11"/>
        <v>Half Achieved</v>
      </c>
      <c r="S100" t="s">
        <v>17</v>
      </c>
    </row>
    <row r="101" spans="1:19" x14ac:dyDescent="0.25">
      <c r="A101">
        <v>100</v>
      </c>
      <c r="B101" t="s">
        <v>28</v>
      </c>
      <c r="C101">
        <v>36</v>
      </c>
      <c r="D101" t="str">
        <f t="shared" si="6"/>
        <v>30's</v>
      </c>
      <c r="E101" t="s">
        <v>26</v>
      </c>
      <c r="F101">
        <v>7.1</v>
      </c>
      <c r="G101" t="str">
        <f t="shared" si="7"/>
        <v>Good</v>
      </c>
      <c r="H101">
        <v>8</v>
      </c>
      <c r="I101" t="str">
        <f t="shared" si="8"/>
        <v>Good</v>
      </c>
      <c r="J101">
        <v>60</v>
      </c>
      <c r="K101" s="1">
        <f t="shared" si="9"/>
        <v>2.5</v>
      </c>
      <c r="L101" s="1" t="str">
        <f t="shared" si="10"/>
        <v>Highly Active</v>
      </c>
      <c r="M101">
        <v>4</v>
      </c>
      <c r="N101" t="s">
        <v>19</v>
      </c>
      <c r="O101" t="s">
        <v>40</v>
      </c>
      <c r="P101">
        <v>68</v>
      </c>
      <c r="Q101">
        <v>7000</v>
      </c>
      <c r="R101" t="str">
        <f t="shared" si="11"/>
        <v>Half Achieved</v>
      </c>
      <c r="S101" t="s">
        <v>17</v>
      </c>
    </row>
    <row r="102" spans="1:19" x14ac:dyDescent="0.25">
      <c r="A102">
        <v>101</v>
      </c>
      <c r="B102" t="s">
        <v>28</v>
      </c>
      <c r="C102">
        <v>36</v>
      </c>
      <c r="D102" t="str">
        <f t="shared" si="6"/>
        <v>30's</v>
      </c>
      <c r="E102" t="s">
        <v>26</v>
      </c>
      <c r="F102">
        <v>7.2</v>
      </c>
      <c r="G102" t="str">
        <f t="shared" si="7"/>
        <v>Good</v>
      </c>
      <c r="H102">
        <v>8</v>
      </c>
      <c r="I102" t="str">
        <f t="shared" si="8"/>
        <v>Good</v>
      </c>
      <c r="J102">
        <v>60</v>
      </c>
      <c r="K102" s="1">
        <f t="shared" si="9"/>
        <v>2.5</v>
      </c>
      <c r="L102" s="1" t="str">
        <f t="shared" si="10"/>
        <v>Highly Active</v>
      </c>
      <c r="M102">
        <v>4</v>
      </c>
      <c r="N102" t="s">
        <v>19</v>
      </c>
      <c r="O102" t="s">
        <v>40</v>
      </c>
      <c r="P102">
        <v>68</v>
      </c>
      <c r="Q102">
        <v>7000</v>
      </c>
      <c r="R102" t="str">
        <f t="shared" si="11"/>
        <v>Half Achieved</v>
      </c>
      <c r="S102" t="s">
        <v>17</v>
      </c>
    </row>
    <row r="103" spans="1:19" x14ac:dyDescent="0.25">
      <c r="A103">
        <v>102</v>
      </c>
      <c r="B103" t="s">
        <v>28</v>
      </c>
      <c r="C103">
        <v>36</v>
      </c>
      <c r="D103" t="str">
        <f t="shared" si="6"/>
        <v>30's</v>
      </c>
      <c r="E103" t="s">
        <v>26</v>
      </c>
      <c r="F103">
        <v>7.2</v>
      </c>
      <c r="G103" t="str">
        <f t="shared" si="7"/>
        <v>Good</v>
      </c>
      <c r="H103">
        <v>8</v>
      </c>
      <c r="I103" t="str">
        <f t="shared" si="8"/>
        <v>Good</v>
      </c>
      <c r="J103">
        <v>60</v>
      </c>
      <c r="K103" s="1">
        <f t="shared" si="9"/>
        <v>2.5</v>
      </c>
      <c r="L103" s="1" t="str">
        <f t="shared" si="10"/>
        <v>Highly Active</v>
      </c>
      <c r="M103">
        <v>4</v>
      </c>
      <c r="N103" t="s">
        <v>19</v>
      </c>
      <c r="O103" t="s">
        <v>40</v>
      </c>
      <c r="P103">
        <v>68</v>
      </c>
      <c r="Q103">
        <v>7000</v>
      </c>
      <c r="R103" t="str">
        <f t="shared" si="11"/>
        <v>Half Achieved</v>
      </c>
      <c r="S103" t="s">
        <v>17</v>
      </c>
    </row>
    <row r="104" spans="1:19" x14ac:dyDescent="0.25">
      <c r="A104">
        <v>103</v>
      </c>
      <c r="B104" t="s">
        <v>28</v>
      </c>
      <c r="C104">
        <v>36</v>
      </c>
      <c r="D104" t="str">
        <f t="shared" si="6"/>
        <v>30's</v>
      </c>
      <c r="E104" t="s">
        <v>26</v>
      </c>
      <c r="F104">
        <v>7.2</v>
      </c>
      <c r="G104" t="str">
        <f t="shared" si="7"/>
        <v>Good</v>
      </c>
      <c r="H104">
        <v>8</v>
      </c>
      <c r="I104" t="str">
        <f t="shared" si="8"/>
        <v>Good</v>
      </c>
      <c r="J104">
        <v>60</v>
      </c>
      <c r="K104" s="1">
        <f t="shared" si="9"/>
        <v>2.5</v>
      </c>
      <c r="L104" s="1" t="str">
        <f t="shared" si="10"/>
        <v>Highly Active</v>
      </c>
      <c r="M104">
        <v>4</v>
      </c>
      <c r="N104" t="s">
        <v>19</v>
      </c>
      <c r="O104" t="s">
        <v>40</v>
      </c>
      <c r="P104">
        <v>68</v>
      </c>
      <c r="Q104">
        <v>7000</v>
      </c>
      <c r="R104" t="str">
        <f t="shared" si="11"/>
        <v>Half Achieved</v>
      </c>
      <c r="S104" t="s">
        <v>17</v>
      </c>
    </row>
    <row r="105" spans="1:19" x14ac:dyDescent="0.25">
      <c r="A105">
        <v>104</v>
      </c>
      <c r="B105" t="s">
        <v>13</v>
      </c>
      <c r="C105">
        <v>36</v>
      </c>
      <c r="D105" t="str">
        <f t="shared" si="6"/>
        <v>30's</v>
      </c>
      <c r="E105" t="s">
        <v>26</v>
      </c>
      <c r="F105">
        <v>6.6</v>
      </c>
      <c r="G105" t="str">
        <f t="shared" si="7"/>
        <v>Low</v>
      </c>
      <c r="H105">
        <v>5</v>
      </c>
      <c r="I105" t="str">
        <f t="shared" si="8"/>
        <v>Good</v>
      </c>
      <c r="J105">
        <v>35</v>
      </c>
      <c r="K105" s="1">
        <f t="shared" si="9"/>
        <v>1.4583333333333333</v>
      </c>
      <c r="L105" s="1" t="str">
        <f t="shared" si="10"/>
        <v>Sedentary</v>
      </c>
      <c r="M105">
        <v>7</v>
      </c>
      <c r="N105" t="s">
        <v>15</v>
      </c>
      <c r="O105" t="s">
        <v>43</v>
      </c>
      <c r="P105">
        <v>74</v>
      </c>
      <c r="Q105">
        <v>4800</v>
      </c>
      <c r="R105" t="str">
        <f t="shared" si="11"/>
        <v>Partially Achieved</v>
      </c>
      <c r="S105" t="s">
        <v>24</v>
      </c>
    </row>
    <row r="106" spans="1:19" x14ac:dyDescent="0.25">
      <c r="A106">
        <v>105</v>
      </c>
      <c r="B106" t="s">
        <v>28</v>
      </c>
      <c r="C106">
        <v>36</v>
      </c>
      <c r="D106" t="str">
        <f t="shared" si="6"/>
        <v>30's</v>
      </c>
      <c r="E106" t="s">
        <v>26</v>
      </c>
      <c r="F106">
        <v>7.2</v>
      </c>
      <c r="G106" t="str">
        <f t="shared" si="7"/>
        <v>Good</v>
      </c>
      <c r="H106">
        <v>8</v>
      </c>
      <c r="I106" t="str">
        <f t="shared" si="8"/>
        <v>Good</v>
      </c>
      <c r="J106">
        <v>60</v>
      </c>
      <c r="K106" s="1">
        <f t="shared" si="9"/>
        <v>2.5</v>
      </c>
      <c r="L106" s="1" t="str">
        <f t="shared" si="10"/>
        <v>Highly Active</v>
      </c>
      <c r="M106">
        <v>4</v>
      </c>
      <c r="N106" t="s">
        <v>19</v>
      </c>
      <c r="O106" t="s">
        <v>40</v>
      </c>
      <c r="P106">
        <v>68</v>
      </c>
      <c r="Q106">
        <v>7000</v>
      </c>
      <c r="R106" t="str">
        <f t="shared" si="11"/>
        <v>Half Achieved</v>
      </c>
      <c r="S106" t="s">
        <v>24</v>
      </c>
    </row>
    <row r="107" spans="1:19" x14ac:dyDescent="0.25">
      <c r="A107">
        <v>106</v>
      </c>
      <c r="B107" t="s">
        <v>13</v>
      </c>
      <c r="C107">
        <v>36</v>
      </c>
      <c r="D107" t="str">
        <f t="shared" si="6"/>
        <v>30's</v>
      </c>
      <c r="E107" t="s">
        <v>26</v>
      </c>
      <c r="F107">
        <v>6.6</v>
      </c>
      <c r="G107" t="str">
        <f t="shared" si="7"/>
        <v>Low</v>
      </c>
      <c r="H107">
        <v>5</v>
      </c>
      <c r="I107" t="str">
        <f t="shared" si="8"/>
        <v>Good</v>
      </c>
      <c r="J107">
        <v>35</v>
      </c>
      <c r="K107" s="1">
        <f t="shared" si="9"/>
        <v>1.4583333333333333</v>
      </c>
      <c r="L107" s="1" t="str">
        <f t="shared" si="10"/>
        <v>Sedentary</v>
      </c>
      <c r="M107">
        <v>7</v>
      </c>
      <c r="N107" t="s">
        <v>15</v>
      </c>
      <c r="O107" t="s">
        <v>43</v>
      </c>
      <c r="P107">
        <v>74</v>
      </c>
      <c r="Q107">
        <v>4800</v>
      </c>
      <c r="R107" t="str">
        <f t="shared" si="11"/>
        <v>Partially Achieved</v>
      </c>
      <c r="S107" t="s">
        <v>25</v>
      </c>
    </row>
    <row r="108" spans="1:19" x14ac:dyDescent="0.25">
      <c r="A108">
        <v>107</v>
      </c>
      <c r="B108" t="s">
        <v>28</v>
      </c>
      <c r="C108">
        <v>37</v>
      </c>
      <c r="D108" t="str">
        <f t="shared" si="6"/>
        <v>30's</v>
      </c>
      <c r="E108" t="s">
        <v>29</v>
      </c>
      <c r="F108">
        <v>6.1</v>
      </c>
      <c r="G108" t="str">
        <f t="shared" si="7"/>
        <v>Low</v>
      </c>
      <c r="H108">
        <v>6</v>
      </c>
      <c r="I108" t="str">
        <f t="shared" si="8"/>
        <v>Good</v>
      </c>
      <c r="J108">
        <v>42</v>
      </c>
      <c r="K108" s="1">
        <f t="shared" si="9"/>
        <v>1.75</v>
      </c>
      <c r="L108" s="1" t="str">
        <f t="shared" si="10"/>
        <v>Active</v>
      </c>
      <c r="M108">
        <v>6</v>
      </c>
      <c r="N108" t="s">
        <v>15</v>
      </c>
      <c r="O108" t="s">
        <v>16</v>
      </c>
      <c r="P108">
        <v>77</v>
      </c>
      <c r="Q108">
        <v>4200</v>
      </c>
      <c r="R108" t="str">
        <f t="shared" si="11"/>
        <v>Partially Achieved</v>
      </c>
      <c r="S108" t="s">
        <v>17</v>
      </c>
    </row>
    <row r="109" spans="1:19" x14ac:dyDescent="0.25">
      <c r="A109">
        <v>108</v>
      </c>
      <c r="B109" t="s">
        <v>13</v>
      </c>
      <c r="C109">
        <v>37</v>
      </c>
      <c r="D109" t="str">
        <f t="shared" si="6"/>
        <v>30's</v>
      </c>
      <c r="E109" t="s">
        <v>33</v>
      </c>
      <c r="F109">
        <v>7.8</v>
      </c>
      <c r="G109" t="str">
        <f t="shared" si="7"/>
        <v>Good</v>
      </c>
      <c r="H109">
        <v>8</v>
      </c>
      <c r="I109" t="str">
        <f t="shared" si="8"/>
        <v>Good</v>
      </c>
      <c r="J109">
        <v>70</v>
      </c>
      <c r="K109" s="1">
        <f t="shared" si="9"/>
        <v>2.9166666666666665</v>
      </c>
      <c r="L109" s="1" t="str">
        <f t="shared" si="10"/>
        <v>Highly Active</v>
      </c>
      <c r="M109">
        <v>4</v>
      </c>
      <c r="N109" t="s">
        <v>19</v>
      </c>
      <c r="O109" t="s">
        <v>27</v>
      </c>
      <c r="P109">
        <v>68</v>
      </c>
      <c r="Q109">
        <v>7000</v>
      </c>
      <c r="R109" t="str">
        <f t="shared" si="11"/>
        <v>Half Achieved</v>
      </c>
      <c r="S109" t="s">
        <v>17</v>
      </c>
    </row>
    <row r="110" spans="1:19" x14ac:dyDescent="0.25">
      <c r="A110">
        <v>109</v>
      </c>
      <c r="B110" t="s">
        <v>13</v>
      </c>
      <c r="C110">
        <v>37</v>
      </c>
      <c r="D110" t="str">
        <f t="shared" si="6"/>
        <v>30's</v>
      </c>
      <c r="E110" t="s">
        <v>33</v>
      </c>
      <c r="F110">
        <v>7.8</v>
      </c>
      <c r="G110" t="str">
        <f t="shared" si="7"/>
        <v>Good</v>
      </c>
      <c r="H110">
        <v>8</v>
      </c>
      <c r="I110" t="str">
        <f t="shared" si="8"/>
        <v>Good</v>
      </c>
      <c r="J110">
        <v>70</v>
      </c>
      <c r="K110" s="1">
        <f t="shared" si="9"/>
        <v>2.9166666666666665</v>
      </c>
      <c r="L110" s="1" t="str">
        <f t="shared" si="10"/>
        <v>Highly Active</v>
      </c>
      <c r="M110">
        <v>4</v>
      </c>
      <c r="N110" t="s">
        <v>19</v>
      </c>
      <c r="O110" t="s">
        <v>27</v>
      </c>
      <c r="P110">
        <v>68</v>
      </c>
      <c r="Q110">
        <v>7000</v>
      </c>
      <c r="R110" t="str">
        <f t="shared" si="11"/>
        <v>Half Achieved</v>
      </c>
      <c r="S110" t="s">
        <v>17</v>
      </c>
    </row>
    <row r="111" spans="1:19" x14ac:dyDescent="0.25">
      <c r="A111">
        <v>110</v>
      </c>
      <c r="B111" t="s">
        <v>13</v>
      </c>
      <c r="C111">
        <v>37</v>
      </c>
      <c r="D111" t="str">
        <f t="shared" si="6"/>
        <v>30's</v>
      </c>
      <c r="E111" t="s">
        <v>41</v>
      </c>
      <c r="F111">
        <v>7.4</v>
      </c>
      <c r="G111" t="str">
        <f t="shared" si="7"/>
        <v>Good</v>
      </c>
      <c r="H111">
        <v>8</v>
      </c>
      <c r="I111" t="str">
        <f t="shared" si="8"/>
        <v>Good</v>
      </c>
      <c r="J111">
        <v>60</v>
      </c>
      <c r="K111" s="1">
        <f t="shared" si="9"/>
        <v>2.5</v>
      </c>
      <c r="L111" s="1" t="str">
        <f t="shared" si="10"/>
        <v>Highly Active</v>
      </c>
      <c r="M111">
        <v>5</v>
      </c>
      <c r="N111" t="s">
        <v>19</v>
      </c>
      <c r="O111" t="s">
        <v>44</v>
      </c>
      <c r="P111">
        <v>68</v>
      </c>
      <c r="Q111">
        <v>8000</v>
      </c>
      <c r="R111" t="str">
        <f t="shared" si="11"/>
        <v>Half Achieved</v>
      </c>
      <c r="S111" t="s">
        <v>17</v>
      </c>
    </row>
    <row r="112" spans="1:19" x14ac:dyDescent="0.25">
      <c r="A112">
        <v>111</v>
      </c>
      <c r="B112" t="s">
        <v>28</v>
      </c>
      <c r="C112">
        <v>37</v>
      </c>
      <c r="D112" t="str">
        <f t="shared" si="6"/>
        <v>30's</v>
      </c>
      <c r="E112" t="s">
        <v>34</v>
      </c>
      <c r="F112">
        <v>7.2</v>
      </c>
      <c r="G112" t="str">
        <f t="shared" si="7"/>
        <v>Good</v>
      </c>
      <c r="H112">
        <v>8</v>
      </c>
      <c r="I112" t="str">
        <f t="shared" si="8"/>
        <v>Good</v>
      </c>
      <c r="J112">
        <v>60</v>
      </c>
      <c r="K112" s="1">
        <f t="shared" si="9"/>
        <v>2.5</v>
      </c>
      <c r="L112" s="1" t="str">
        <f t="shared" si="10"/>
        <v>Highly Active</v>
      </c>
      <c r="M112">
        <v>4</v>
      </c>
      <c r="N112" t="s">
        <v>19</v>
      </c>
      <c r="O112" t="s">
        <v>40</v>
      </c>
      <c r="P112">
        <v>68</v>
      </c>
      <c r="Q112">
        <v>7000</v>
      </c>
      <c r="R112" t="str">
        <f t="shared" si="11"/>
        <v>Half Achieved</v>
      </c>
      <c r="S112" t="s">
        <v>17</v>
      </c>
    </row>
    <row r="113" spans="1:19" x14ac:dyDescent="0.25">
      <c r="A113">
        <v>112</v>
      </c>
      <c r="B113" t="s">
        <v>13</v>
      </c>
      <c r="C113">
        <v>37</v>
      </c>
      <c r="D113" t="str">
        <f t="shared" si="6"/>
        <v>30's</v>
      </c>
      <c r="E113" t="s">
        <v>41</v>
      </c>
      <c r="F113">
        <v>7.4</v>
      </c>
      <c r="G113" t="str">
        <f t="shared" si="7"/>
        <v>Good</v>
      </c>
      <c r="H113">
        <v>8</v>
      </c>
      <c r="I113" t="str">
        <f t="shared" si="8"/>
        <v>Good</v>
      </c>
      <c r="J113">
        <v>60</v>
      </c>
      <c r="K113" s="1">
        <f t="shared" si="9"/>
        <v>2.5</v>
      </c>
      <c r="L113" s="1" t="str">
        <f t="shared" si="10"/>
        <v>Highly Active</v>
      </c>
      <c r="M113">
        <v>5</v>
      </c>
      <c r="N113" t="s">
        <v>19</v>
      </c>
      <c r="O113" t="s">
        <v>44</v>
      </c>
      <c r="P113">
        <v>68</v>
      </c>
      <c r="Q113">
        <v>8000</v>
      </c>
      <c r="R113" t="str">
        <f t="shared" si="11"/>
        <v>Half Achieved</v>
      </c>
      <c r="S113" t="s">
        <v>17</v>
      </c>
    </row>
    <row r="114" spans="1:19" x14ac:dyDescent="0.25">
      <c r="A114">
        <v>113</v>
      </c>
      <c r="B114" t="s">
        <v>28</v>
      </c>
      <c r="C114">
        <v>37</v>
      </c>
      <c r="D114" t="str">
        <f t="shared" si="6"/>
        <v>30's</v>
      </c>
      <c r="E114" t="s">
        <v>34</v>
      </c>
      <c r="F114">
        <v>7.2</v>
      </c>
      <c r="G114" t="str">
        <f t="shared" si="7"/>
        <v>Good</v>
      </c>
      <c r="H114">
        <v>8</v>
      </c>
      <c r="I114" t="str">
        <f t="shared" si="8"/>
        <v>Good</v>
      </c>
      <c r="J114">
        <v>60</v>
      </c>
      <c r="K114" s="1">
        <f t="shared" si="9"/>
        <v>2.5</v>
      </c>
      <c r="L114" s="1" t="str">
        <f t="shared" si="10"/>
        <v>Highly Active</v>
      </c>
      <c r="M114">
        <v>4</v>
      </c>
      <c r="N114" t="s">
        <v>19</v>
      </c>
      <c r="O114" t="s">
        <v>40</v>
      </c>
      <c r="P114">
        <v>68</v>
      </c>
      <c r="Q114">
        <v>7000</v>
      </c>
      <c r="R114" t="str">
        <f t="shared" si="11"/>
        <v>Half Achieved</v>
      </c>
      <c r="S114" t="s">
        <v>17</v>
      </c>
    </row>
    <row r="115" spans="1:19" x14ac:dyDescent="0.25">
      <c r="A115">
        <v>114</v>
      </c>
      <c r="B115" t="s">
        <v>13</v>
      </c>
      <c r="C115">
        <v>37</v>
      </c>
      <c r="D115" t="str">
        <f t="shared" si="6"/>
        <v>30's</v>
      </c>
      <c r="E115" t="s">
        <v>41</v>
      </c>
      <c r="F115">
        <v>7.4</v>
      </c>
      <c r="G115" t="str">
        <f t="shared" si="7"/>
        <v>Good</v>
      </c>
      <c r="H115">
        <v>8</v>
      </c>
      <c r="I115" t="str">
        <f t="shared" si="8"/>
        <v>Good</v>
      </c>
      <c r="J115">
        <v>60</v>
      </c>
      <c r="K115" s="1">
        <f t="shared" si="9"/>
        <v>2.5</v>
      </c>
      <c r="L115" s="1" t="str">
        <f t="shared" si="10"/>
        <v>Highly Active</v>
      </c>
      <c r="M115">
        <v>5</v>
      </c>
      <c r="N115" t="s">
        <v>19</v>
      </c>
      <c r="O115" t="s">
        <v>44</v>
      </c>
      <c r="P115">
        <v>68</v>
      </c>
      <c r="Q115">
        <v>8000</v>
      </c>
      <c r="R115" t="str">
        <f t="shared" si="11"/>
        <v>Half Achieved</v>
      </c>
      <c r="S115" t="s">
        <v>17</v>
      </c>
    </row>
    <row r="116" spans="1:19" x14ac:dyDescent="0.25">
      <c r="A116">
        <v>115</v>
      </c>
      <c r="B116" t="s">
        <v>28</v>
      </c>
      <c r="C116">
        <v>37</v>
      </c>
      <c r="D116" t="str">
        <f t="shared" si="6"/>
        <v>30's</v>
      </c>
      <c r="E116" t="s">
        <v>34</v>
      </c>
      <c r="F116">
        <v>7.2</v>
      </c>
      <c r="G116" t="str">
        <f t="shared" si="7"/>
        <v>Good</v>
      </c>
      <c r="H116">
        <v>8</v>
      </c>
      <c r="I116" t="str">
        <f t="shared" si="8"/>
        <v>Good</v>
      </c>
      <c r="J116">
        <v>60</v>
      </c>
      <c r="K116" s="1">
        <f t="shared" si="9"/>
        <v>2.5</v>
      </c>
      <c r="L116" s="1" t="str">
        <f t="shared" si="10"/>
        <v>Highly Active</v>
      </c>
      <c r="M116">
        <v>4</v>
      </c>
      <c r="N116" t="s">
        <v>19</v>
      </c>
      <c r="O116" t="s">
        <v>40</v>
      </c>
      <c r="P116">
        <v>68</v>
      </c>
      <c r="Q116">
        <v>7000</v>
      </c>
      <c r="R116" t="str">
        <f t="shared" si="11"/>
        <v>Half Achieved</v>
      </c>
      <c r="S116" t="s">
        <v>17</v>
      </c>
    </row>
    <row r="117" spans="1:19" x14ac:dyDescent="0.25">
      <c r="A117">
        <v>116</v>
      </c>
      <c r="B117" t="s">
        <v>28</v>
      </c>
      <c r="C117">
        <v>37</v>
      </c>
      <c r="D117" t="str">
        <f t="shared" si="6"/>
        <v>30's</v>
      </c>
      <c r="E117" t="s">
        <v>34</v>
      </c>
      <c r="F117">
        <v>7.2</v>
      </c>
      <c r="G117" t="str">
        <f t="shared" si="7"/>
        <v>Good</v>
      </c>
      <c r="H117">
        <v>8</v>
      </c>
      <c r="I117" t="str">
        <f t="shared" si="8"/>
        <v>Good</v>
      </c>
      <c r="J117">
        <v>60</v>
      </c>
      <c r="K117" s="1">
        <f t="shared" si="9"/>
        <v>2.5</v>
      </c>
      <c r="L117" s="1" t="str">
        <f t="shared" si="10"/>
        <v>Highly Active</v>
      </c>
      <c r="M117">
        <v>4</v>
      </c>
      <c r="N117" t="s">
        <v>19</v>
      </c>
      <c r="O117" t="s">
        <v>40</v>
      </c>
      <c r="P117">
        <v>68</v>
      </c>
      <c r="Q117">
        <v>7000</v>
      </c>
      <c r="R117" t="str">
        <f t="shared" si="11"/>
        <v>Half Achieved</v>
      </c>
      <c r="S117" t="s">
        <v>17</v>
      </c>
    </row>
    <row r="118" spans="1:19" x14ac:dyDescent="0.25">
      <c r="A118">
        <v>117</v>
      </c>
      <c r="B118" t="s">
        <v>28</v>
      </c>
      <c r="C118">
        <v>37</v>
      </c>
      <c r="D118" t="str">
        <f t="shared" si="6"/>
        <v>30's</v>
      </c>
      <c r="E118" t="s">
        <v>34</v>
      </c>
      <c r="F118">
        <v>7.2</v>
      </c>
      <c r="G118" t="str">
        <f t="shared" si="7"/>
        <v>Good</v>
      </c>
      <c r="H118">
        <v>8</v>
      </c>
      <c r="I118" t="str">
        <f t="shared" si="8"/>
        <v>Good</v>
      </c>
      <c r="J118">
        <v>60</v>
      </c>
      <c r="K118" s="1">
        <f t="shared" si="9"/>
        <v>2.5</v>
      </c>
      <c r="L118" s="1" t="str">
        <f t="shared" si="10"/>
        <v>Highly Active</v>
      </c>
      <c r="M118">
        <v>4</v>
      </c>
      <c r="N118" t="s">
        <v>19</v>
      </c>
      <c r="O118" t="s">
        <v>40</v>
      </c>
      <c r="P118">
        <v>68</v>
      </c>
      <c r="Q118">
        <v>7000</v>
      </c>
      <c r="R118" t="str">
        <f t="shared" si="11"/>
        <v>Half Achieved</v>
      </c>
      <c r="S118" t="s">
        <v>17</v>
      </c>
    </row>
    <row r="119" spans="1:19" x14ac:dyDescent="0.25">
      <c r="A119">
        <v>118</v>
      </c>
      <c r="B119" t="s">
        <v>28</v>
      </c>
      <c r="C119">
        <v>37</v>
      </c>
      <c r="D119" t="str">
        <f t="shared" si="6"/>
        <v>30's</v>
      </c>
      <c r="E119" t="s">
        <v>34</v>
      </c>
      <c r="F119">
        <v>7.2</v>
      </c>
      <c r="G119" t="str">
        <f t="shared" si="7"/>
        <v>Good</v>
      </c>
      <c r="H119">
        <v>8</v>
      </c>
      <c r="I119" t="str">
        <f t="shared" si="8"/>
        <v>Good</v>
      </c>
      <c r="J119">
        <v>60</v>
      </c>
      <c r="K119" s="1">
        <f t="shared" si="9"/>
        <v>2.5</v>
      </c>
      <c r="L119" s="1" t="str">
        <f t="shared" si="10"/>
        <v>Highly Active</v>
      </c>
      <c r="M119">
        <v>4</v>
      </c>
      <c r="N119" t="s">
        <v>19</v>
      </c>
      <c r="O119" t="s">
        <v>40</v>
      </c>
      <c r="P119">
        <v>68</v>
      </c>
      <c r="Q119">
        <v>7000</v>
      </c>
      <c r="R119" t="str">
        <f t="shared" si="11"/>
        <v>Half Achieved</v>
      </c>
      <c r="S119" t="s">
        <v>17</v>
      </c>
    </row>
    <row r="120" spans="1:19" x14ac:dyDescent="0.25">
      <c r="A120">
        <v>119</v>
      </c>
      <c r="B120" t="s">
        <v>28</v>
      </c>
      <c r="C120">
        <v>37</v>
      </c>
      <c r="D120" t="str">
        <f t="shared" si="6"/>
        <v>30's</v>
      </c>
      <c r="E120" t="s">
        <v>34</v>
      </c>
      <c r="F120">
        <v>7.2</v>
      </c>
      <c r="G120" t="str">
        <f t="shared" si="7"/>
        <v>Good</v>
      </c>
      <c r="H120">
        <v>8</v>
      </c>
      <c r="I120" t="str">
        <f t="shared" si="8"/>
        <v>Good</v>
      </c>
      <c r="J120">
        <v>60</v>
      </c>
      <c r="K120" s="1">
        <f t="shared" si="9"/>
        <v>2.5</v>
      </c>
      <c r="L120" s="1" t="str">
        <f t="shared" si="10"/>
        <v>Highly Active</v>
      </c>
      <c r="M120">
        <v>4</v>
      </c>
      <c r="N120" t="s">
        <v>19</v>
      </c>
      <c r="O120" t="s">
        <v>40</v>
      </c>
      <c r="P120">
        <v>68</v>
      </c>
      <c r="Q120">
        <v>7000</v>
      </c>
      <c r="R120" t="str">
        <f t="shared" si="11"/>
        <v>Half Achieved</v>
      </c>
      <c r="S120" t="s">
        <v>17</v>
      </c>
    </row>
    <row r="121" spans="1:19" x14ac:dyDescent="0.25">
      <c r="A121">
        <v>120</v>
      </c>
      <c r="B121" t="s">
        <v>28</v>
      </c>
      <c r="C121">
        <v>37</v>
      </c>
      <c r="D121" t="str">
        <f t="shared" si="6"/>
        <v>30's</v>
      </c>
      <c r="E121" t="s">
        <v>34</v>
      </c>
      <c r="F121">
        <v>7.2</v>
      </c>
      <c r="G121" t="str">
        <f t="shared" si="7"/>
        <v>Good</v>
      </c>
      <c r="H121">
        <v>8</v>
      </c>
      <c r="I121" t="str">
        <f t="shared" si="8"/>
        <v>Good</v>
      </c>
      <c r="J121">
        <v>60</v>
      </c>
      <c r="K121" s="1">
        <f t="shared" si="9"/>
        <v>2.5</v>
      </c>
      <c r="L121" s="1" t="str">
        <f t="shared" si="10"/>
        <v>Highly Active</v>
      </c>
      <c r="M121">
        <v>4</v>
      </c>
      <c r="N121" t="s">
        <v>19</v>
      </c>
      <c r="O121" t="s">
        <v>40</v>
      </c>
      <c r="P121">
        <v>68</v>
      </c>
      <c r="Q121">
        <v>7000</v>
      </c>
      <c r="R121" t="str">
        <f t="shared" si="11"/>
        <v>Half Achieved</v>
      </c>
      <c r="S121" t="s">
        <v>17</v>
      </c>
    </row>
    <row r="122" spans="1:19" x14ac:dyDescent="0.25">
      <c r="A122">
        <v>121</v>
      </c>
      <c r="B122" t="s">
        <v>28</v>
      </c>
      <c r="C122">
        <v>37</v>
      </c>
      <c r="D122" t="str">
        <f t="shared" si="6"/>
        <v>30's</v>
      </c>
      <c r="E122" t="s">
        <v>34</v>
      </c>
      <c r="F122">
        <v>7.2</v>
      </c>
      <c r="G122" t="str">
        <f t="shared" si="7"/>
        <v>Good</v>
      </c>
      <c r="H122">
        <v>8</v>
      </c>
      <c r="I122" t="str">
        <f t="shared" si="8"/>
        <v>Good</v>
      </c>
      <c r="J122">
        <v>60</v>
      </c>
      <c r="K122" s="1">
        <f t="shared" si="9"/>
        <v>2.5</v>
      </c>
      <c r="L122" s="1" t="str">
        <f t="shared" si="10"/>
        <v>Highly Active</v>
      </c>
      <c r="M122">
        <v>4</v>
      </c>
      <c r="N122" t="s">
        <v>19</v>
      </c>
      <c r="O122" t="s">
        <v>40</v>
      </c>
      <c r="P122">
        <v>68</v>
      </c>
      <c r="Q122">
        <v>7000</v>
      </c>
      <c r="R122" t="str">
        <f t="shared" si="11"/>
        <v>Half Achieved</v>
      </c>
      <c r="S122" t="s">
        <v>17</v>
      </c>
    </row>
    <row r="123" spans="1:19" x14ac:dyDescent="0.25">
      <c r="A123">
        <v>122</v>
      </c>
      <c r="B123" t="s">
        <v>28</v>
      </c>
      <c r="C123">
        <v>37</v>
      </c>
      <c r="D123" t="str">
        <f t="shared" si="6"/>
        <v>30's</v>
      </c>
      <c r="E123" t="s">
        <v>34</v>
      </c>
      <c r="F123">
        <v>7.2</v>
      </c>
      <c r="G123" t="str">
        <f t="shared" si="7"/>
        <v>Good</v>
      </c>
      <c r="H123">
        <v>8</v>
      </c>
      <c r="I123" t="str">
        <f t="shared" si="8"/>
        <v>Good</v>
      </c>
      <c r="J123">
        <v>60</v>
      </c>
      <c r="K123" s="1">
        <f t="shared" si="9"/>
        <v>2.5</v>
      </c>
      <c r="L123" s="1" t="str">
        <f t="shared" si="10"/>
        <v>Highly Active</v>
      </c>
      <c r="M123">
        <v>4</v>
      </c>
      <c r="N123" t="s">
        <v>19</v>
      </c>
      <c r="O123" t="s">
        <v>40</v>
      </c>
      <c r="P123">
        <v>68</v>
      </c>
      <c r="Q123">
        <v>7000</v>
      </c>
      <c r="R123" t="str">
        <f t="shared" si="11"/>
        <v>Half Achieved</v>
      </c>
      <c r="S123" t="s">
        <v>17</v>
      </c>
    </row>
    <row r="124" spans="1:19" x14ac:dyDescent="0.25">
      <c r="A124">
        <v>123</v>
      </c>
      <c r="B124" t="s">
        <v>28</v>
      </c>
      <c r="C124">
        <v>37</v>
      </c>
      <c r="D124" t="str">
        <f t="shared" si="6"/>
        <v>30's</v>
      </c>
      <c r="E124" t="s">
        <v>34</v>
      </c>
      <c r="F124">
        <v>7.2</v>
      </c>
      <c r="G124" t="str">
        <f t="shared" si="7"/>
        <v>Good</v>
      </c>
      <c r="H124">
        <v>8</v>
      </c>
      <c r="I124" t="str">
        <f t="shared" si="8"/>
        <v>Good</v>
      </c>
      <c r="J124">
        <v>60</v>
      </c>
      <c r="K124" s="1">
        <f t="shared" si="9"/>
        <v>2.5</v>
      </c>
      <c r="L124" s="1" t="str">
        <f t="shared" si="10"/>
        <v>Highly Active</v>
      </c>
      <c r="M124">
        <v>4</v>
      </c>
      <c r="N124" t="s">
        <v>19</v>
      </c>
      <c r="O124" t="s">
        <v>40</v>
      </c>
      <c r="P124">
        <v>68</v>
      </c>
      <c r="Q124">
        <v>7000</v>
      </c>
      <c r="R124" t="str">
        <f t="shared" si="11"/>
        <v>Half Achieved</v>
      </c>
      <c r="S124" t="s">
        <v>17</v>
      </c>
    </row>
    <row r="125" spans="1:19" x14ac:dyDescent="0.25">
      <c r="A125">
        <v>124</v>
      </c>
      <c r="B125" t="s">
        <v>28</v>
      </c>
      <c r="C125">
        <v>37</v>
      </c>
      <c r="D125" t="str">
        <f t="shared" si="6"/>
        <v>30's</v>
      </c>
      <c r="E125" t="s">
        <v>34</v>
      </c>
      <c r="F125">
        <v>7.2</v>
      </c>
      <c r="G125" t="str">
        <f t="shared" si="7"/>
        <v>Good</v>
      </c>
      <c r="H125">
        <v>8</v>
      </c>
      <c r="I125" t="str">
        <f t="shared" si="8"/>
        <v>Good</v>
      </c>
      <c r="J125">
        <v>60</v>
      </c>
      <c r="K125" s="1">
        <f t="shared" si="9"/>
        <v>2.5</v>
      </c>
      <c r="L125" s="1" t="str">
        <f t="shared" si="10"/>
        <v>Highly Active</v>
      </c>
      <c r="M125">
        <v>4</v>
      </c>
      <c r="N125" t="s">
        <v>19</v>
      </c>
      <c r="O125" t="s">
        <v>40</v>
      </c>
      <c r="P125">
        <v>68</v>
      </c>
      <c r="Q125">
        <v>7000</v>
      </c>
      <c r="R125" t="str">
        <f t="shared" si="11"/>
        <v>Half Achieved</v>
      </c>
      <c r="S125" t="s">
        <v>17</v>
      </c>
    </row>
    <row r="126" spans="1:19" x14ac:dyDescent="0.25">
      <c r="A126">
        <v>125</v>
      </c>
      <c r="B126" t="s">
        <v>28</v>
      </c>
      <c r="C126">
        <v>37</v>
      </c>
      <c r="D126" t="str">
        <f t="shared" si="6"/>
        <v>30's</v>
      </c>
      <c r="E126" t="s">
        <v>34</v>
      </c>
      <c r="F126">
        <v>7.2</v>
      </c>
      <c r="G126" t="str">
        <f t="shared" si="7"/>
        <v>Good</v>
      </c>
      <c r="H126">
        <v>8</v>
      </c>
      <c r="I126" t="str">
        <f t="shared" si="8"/>
        <v>Good</v>
      </c>
      <c r="J126">
        <v>60</v>
      </c>
      <c r="K126" s="1">
        <f t="shared" si="9"/>
        <v>2.5</v>
      </c>
      <c r="L126" s="1" t="str">
        <f t="shared" si="10"/>
        <v>Highly Active</v>
      </c>
      <c r="M126">
        <v>4</v>
      </c>
      <c r="N126" t="s">
        <v>19</v>
      </c>
      <c r="O126" t="s">
        <v>40</v>
      </c>
      <c r="P126">
        <v>68</v>
      </c>
      <c r="Q126">
        <v>7000</v>
      </c>
      <c r="R126" t="str">
        <f t="shared" si="11"/>
        <v>Half Achieved</v>
      </c>
      <c r="S126" t="s">
        <v>17</v>
      </c>
    </row>
    <row r="127" spans="1:19" x14ac:dyDescent="0.25">
      <c r="A127">
        <v>126</v>
      </c>
      <c r="B127" t="s">
        <v>28</v>
      </c>
      <c r="C127">
        <v>37</v>
      </c>
      <c r="D127" t="str">
        <f t="shared" si="6"/>
        <v>30's</v>
      </c>
      <c r="E127" t="s">
        <v>29</v>
      </c>
      <c r="F127">
        <v>7.5</v>
      </c>
      <c r="G127" t="str">
        <f t="shared" si="7"/>
        <v>Good</v>
      </c>
      <c r="H127">
        <v>8</v>
      </c>
      <c r="I127" t="str">
        <f t="shared" si="8"/>
        <v>Good</v>
      </c>
      <c r="J127">
        <v>60</v>
      </c>
      <c r="K127" s="1">
        <f t="shared" si="9"/>
        <v>2.5</v>
      </c>
      <c r="L127" s="1" t="str">
        <f t="shared" si="10"/>
        <v>Highly Active</v>
      </c>
      <c r="M127">
        <v>4</v>
      </c>
      <c r="N127" t="s">
        <v>19</v>
      </c>
      <c r="O127" t="s">
        <v>27</v>
      </c>
      <c r="P127">
        <v>70</v>
      </c>
      <c r="Q127">
        <v>8000</v>
      </c>
      <c r="R127" t="str">
        <f t="shared" si="11"/>
        <v>Half Achieved</v>
      </c>
      <c r="S127" t="s">
        <v>17</v>
      </c>
    </row>
    <row r="128" spans="1:19" x14ac:dyDescent="0.25">
      <c r="A128">
        <v>127</v>
      </c>
      <c r="B128" t="s">
        <v>13</v>
      </c>
      <c r="C128">
        <v>38</v>
      </c>
      <c r="D128" t="str">
        <f t="shared" si="6"/>
        <v>30's</v>
      </c>
      <c r="E128" t="s">
        <v>41</v>
      </c>
      <c r="F128">
        <v>7.3</v>
      </c>
      <c r="G128" t="str">
        <f t="shared" si="7"/>
        <v>Good</v>
      </c>
      <c r="H128">
        <v>8</v>
      </c>
      <c r="I128" t="str">
        <f t="shared" si="8"/>
        <v>Good</v>
      </c>
      <c r="J128">
        <v>60</v>
      </c>
      <c r="K128" s="1">
        <f t="shared" si="9"/>
        <v>2.5</v>
      </c>
      <c r="L128" s="1" t="str">
        <f t="shared" si="10"/>
        <v>Highly Active</v>
      </c>
      <c r="M128">
        <v>5</v>
      </c>
      <c r="N128" t="s">
        <v>19</v>
      </c>
      <c r="O128" t="s">
        <v>44</v>
      </c>
      <c r="P128">
        <v>68</v>
      </c>
      <c r="Q128">
        <v>8000</v>
      </c>
      <c r="R128" t="str">
        <f t="shared" si="11"/>
        <v>Half Achieved</v>
      </c>
      <c r="S128" t="s">
        <v>17</v>
      </c>
    </row>
    <row r="129" spans="1:19" x14ac:dyDescent="0.25">
      <c r="A129">
        <v>128</v>
      </c>
      <c r="B129" t="s">
        <v>28</v>
      </c>
      <c r="C129">
        <v>38</v>
      </c>
      <c r="D129" t="str">
        <f t="shared" si="6"/>
        <v>30's</v>
      </c>
      <c r="E129" t="s">
        <v>34</v>
      </c>
      <c r="F129">
        <v>7.1</v>
      </c>
      <c r="G129" t="str">
        <f t="shared" si="7"/>
        <v>Good</v>
      </c>
      <c r="H129">
        <v>8</v>
      </c>
      <c r="I129" t="str">
        <f t="shared" si="8"/>
        <v>Good</v>
      </c>
      <c r="J129">
        <v>60</v>
      </c>
      <c r="K129" s="1">
        <f t="shared" si="9"/>
        <v>2.5</v>
      </c>
      <c r="L129" s="1" t="str">
        <f t="shared" si="10"/>
        <v>Highly Active</v>
      </c>
      <c r="M129">
        <v>4</v>
      </c>
      <c r="N129" t="s">
        <v>19</v>
      </c>
      <c r="O129" t="s">
        <v>40</v>
      </c>
      <c r="P129">
        <v>68</v>
      </c>
      <c r="Q129">
        <v>7000</v>
      </c>
      <c r="R129" t="str">
        <f t="shared" si="11"/>
        <v>Half Achieved</v>
      </c>
      <c r="S129" t="s">
        <v>17</v>
      </c>
    </row>
    <row r="130" spans="1:19" x14ac:dyDescent="0.25">
      <c r="A130">
        <v>129</v>
      </c>
      <c r="B130" t="s">
        <v>13</v>
      </c>
      <c r="C130">
        <v>38</v>
      </c>
      <c r="D130" t="str">
        <f t="shared" si="6"/>
        <v>30's</v>
      </c>
      <c r="E130" t="s">
        <v>41</v>
      </c>
      <c r="F130">
        <v>7.3</v>
      </c>
      <c r="G130" t="str">
        <f t="shared" si="7"/>
        <v>Good</v>
      </c>
      <c r="H130">
        <v>8</v>
      </c>
      <c r="I130" t="str">
        <f t="shared" si="8"/>
        <v>Good</v>
      </c>
      <c r="J130">
        <v>60</v>
      </c>
      <c r="K130" s="1">
        <f t="shared" si="9"/>
        <v>2.5</v>
      </c>
      <c r="L130" s="1" t="str">
        <f t="shared" si="10"/>
        <v>Highly Active</v>
      </c>
      <c r="M130">
        <v>5</v>
      </c>
      <c r="N130" t="s">
        <v>19</v>
      </c>
      <c r="O130" t="s">
        <v>44</v>
      </c>
      <c r="P130">
        <v>68</v>
      </c>
      <c r="Q130">
        <v>8000</v>
      </c>
      <c r="R130" t="str">
        <f t="shared" si="11"/>
        <v>Half Achieved</v>
      </c>
      <c r="S130" t="s">
        <v>17</v>
      </c>
    </row>
    <row r="131" spans="1:19" x14ac:dyDescent="0.25">
      <c r="A131">
        <v>130</v>
      </c>
      <c r="B131" t="s">
        <v>13</v>
      </c>
      <c r="C131">
        <v>38</v>
      </c>
      <c r="D131" t="str">
        <f t="shared" ref="D131:D194" si="12">IF(C131&lt;=29,"20's",(IF(C131&lt;=39,"30's",(IF(C131&lt;=49,"40's","50's")))))</f>
        <v>30's</v>
      </c>
      <c r="E131" t="s">
        <v>41</v>
      </c>
      <c r="F131">
        <v>7.3</v>
      </c>
      <c r="G131" t="str">
        <f t="shared" ref="G131:G194" si="13">IF(F131&lt;6,"Very low",(IF(F131&gt;=7,"Good","Low")))</f>
        <v>Good</v>
      </c>
      <c r="H131">
        <v>8</v>
      </c>
      <c r="I131" t="str">
        <f t="shared" ref="I131:I194" si="14">IF(H131&gt;=5,"Good","Poor")</f>
        <v>Good</v>
      </c>
      <c r="J131">
        <v>60</v>
      </c>
      <c r="K131" s="1">
        <f t="shared" ref="K131:K194" si="15">J131/24</f>
        <v>2.5</v>
      </c>
      <c r="L131" s="1" t="str">
        <f t="shared" ref="L131:L194" si="16">IF(K131&lt;=1.7,"Sedentary",(IF(K131&gt;=2,"Highly Active","Active")))</f>
        <v>Highly Active</v>
      </c>
      <c r="M131">
        <v>5</v>
      </c>
      <c r="N131" t="s">
        <v>19</v>
      </c>
      <c r="O131" t="s">
        <v>44</v>
      </c>
      <c r="P131">
        <v>68</v>
      </c>
      <c r="Q131">
        <v>8000</v>
      </c>
      <c r="R131" t="str">
        <f t="shared" ref="R131:R194" si="17">IF(Q131=10000,"Steps Achieved",(IF(Q131&gt;=5000,"Half Achieved","Partially Achieved")))</f>
        <v>Half Achieved</v>
      </c>
      <c r="S131" t="s">
        <v>17</v>
      </c>
    </row>
    <row r="132" spans="1:19" x14ac:dyDescent="0.25">
      <c r="A132">
        <v>131</v>
      </c>
      <c r="B132" t="s">
        <v>28</v>
      </c>
      <c r="C132">
        <v>38</v>
      </c>
      <c r="D132" t="str">
        <f t="shared" si="12"/>
        <v>30's</v>
      </c>
      <c r="E132" t="s">
        <v>34</v>
      </c>
      <c r="F132">
        <v>7.1</v>
      </c>
      <c r="G132" t="str">
        <f t="shared" si="13"/>
        <v>Good</v>
      </c>
      <c r="H132">
        <v>8</v>
      </c>
      <c r="I132" t="str">
        <f t="shared" si="14"/>
        <v>Good</v>
      </c>
      <c r="J132">
        <v>60</v>
      </c>
      <c r="K132" s="1">
        <f t="shared" si="15"/>
        <v>2.5</v>
      </c>
      <c r="L132" s="1" t="str">
        <f t="shared" si="16"/>
        <v>Highly Active</v>
      </c>
      <c r="M132">
        <v>4</v>
      </c>
      <c r="N132" t="s">
        <v>19</v>
      </c>
      <c r="O132" t="s">
        <v>40</v>
      </c>
      <c r="P132">
        <v>68</v>
      </c>
      <c r="Q132">
        <v>7000</v>
      </c>
      <c r="R132" t="str">
        <f t="shared" si="17"/>
        <v>Half Achieved</v>
      </c>
      <c r="S132" t="s">
        <v>17</v>
      </c>
    </row>
    <row r="133" spans="1:19" x14ac:dyDescent="0.25">
      <c r="A133">
        <v>132</v>
      </c>
      <c r="B133" t="s">
        <v>13</v>
      </c>
      <c r="C133">
        <v>38</v>
      </c>
      <c r="D133" t="str">
        <f t="shared" si="12"/>
        <v>30's</v>
      </c>
      <c r="E133" t="s">
        <v>41</v>
      </c>
      <c r="F133">
        <v>7.3</v>
      </c>
      <c r="G133" t="str">
        <f t="shared" si="13"/>
        <v>Good</v>
      </c>
      <c r="H133">
        <v>8</v>
      </c>
      <c r="I133" t="str">
        <f t="shared" si="14"/>
        <v>Good</v>
      </c>
      <c r="J133">
        <v>60</v>
      </c>
      <c r="K133" s="1">
        <f t="shared" si="15"/>
        <v>2.5</v>
      </c>
      <c r="L133" s="1" t="str">
        <f t="shared" si="16"/>
        <v>Highly Active</v>
      </c>
      <c r="M133">
        <v>5</v>
      </c>
      <c r="N133" t="s">
        <v>19</v>
      </c>
      <c r="O133" t="s">
        <v>44</v>
      </c>
      <c r="P133">
        <v>68</v>
      </c>
      <c r="Q133">
        <v>8000</v>
      </c>
      <c r="R133" t="str">
        <f t="shared" si="17"/>
        <v>Half Achieved</v>
      </c>
      <c r="S133" t="s">
        <v>17</v>
      </c>
    </row>
    <row r="134" spans="1:19" x14ac:dyDescent="0.25">
      <c r="A134">
        <v>133</v>
      </c>
      <c r="B134" t="s">
        <v>13</v>
      </c>
      <c r="C134">
        <v>38</v>
      </c>
      <c r="D134" t="str">
        <f t="shared" si="12"/>
        <v>30's</v>
      </c>
      <c r="E134" t="s">
        <v>41</v>
      </c>
      <c r="F134">
        <v>7.3</v>
      </c>
      <c r="G134" t="str">
        <f t="shared" si="13"/>
        <v>Good</v>
      </c>
      <c r="H134">
        <v>8</v>
      </c>
      <c r="I134" t="str">
        <f t="shared" si="14"/>
        <v>Good</v>
      </c>
      <c r="J134">
        <v>60</v>
      </c>
      <c r="K134" s="1">
        <f t="shared" si="15"/>
        <v>2.5</v>
      </c>
      <c r="L134" s="1" t="str">
        <f t="shared" si="16"/>
        <v>Highly Active</v>
      </c>
      <c r="M134">
        <v>5</v>
      </c>
      <c r="N134" t="s">
        <v>19</v>
      </c>
      <c r="O134" t="s">
        <v>44</v>
      </c>
      <c r="P134">
        <v>68</v>
      </c>
      <c r="Q134">
        <v>8000</v>
      </c>
      <c r="R134" t="str">
        <f t="shared" si="17"/>
        <v>Half Achieved</v>
      </c>
      <c r="S134" t="s">
        <v>17</v>
      </c>
    </row>
    <row r="135" spans="1:19" x14ac:dyDescent="0.25">
      <c r="A135">
        <v>134</v>
      </c>
      <c r="B135" t="s">
        <v>28</v>
      </c>
      <c r="C135">
        <v>38</v>
      </c>
      <c r="D135" t="str">
        <f t="shared" si="12"/>
        <v>30's</v>
      </c>
      <c r="E135" t="s">
        <v>34</v>
      </c>
      <c r="F135">
        <v>7.1</v>
      </c>
      <c r="G135" t="str">
        <f t="shared" si="13"/>
        <v>Good</v>
      </c>
      <c r="H135">
        <v>8</v>
      </c>
      <c r="I135" t="str">
        <f t="shared" si="14"/>
        <v>Good</v>
      </c>
      <c r="J135">
        <v>60</v>
      </c>
      <c r="K135" s="1">
        <f t="shared" si="15"/>
        <v>2.5</v>
      </c>
      <c r="L135" s="1" t="str">
        <f t="shared" si="16"/>
        <v>Highly Active</v>
      </c>
      <c r="M135">
        <v>4</v>
      </c>
      <c r="N135" t="s">
        <v>19</v>
      </c>
      <c r="O135" t="s">
        <v>40</v>
      </c>
      <c r="P135">
        <v>68</v>
      </c>
      <c r="Q135">
        <v>7000</v>
      </c>
      <c r="R135" t="str">
        <f t="shared" si="17"/>
        <v>Half Achieved</v>
      </c>
      <c r="S135" t="s">
        <v>17</v>
      </c>
    </row>
    <row r="136" spans="1:19" x14ac:dyDescent="0.25">
      <c r="A136">
        <v>135</v>
      </c>
      <c r="B136" t="s">
        <v>13</v>
      </c>
      <c r="C136">
        <v>38</v>
      </c>
      <c r="D136" t="str">
        <f t="shared" si="12"/>
        <v>30's</v>
      </c>
      <c r="E136" t="s">
        <v>41</v>
      </c>
      <c r="F136">
        <v>7.3</v>
      </c>
      <c r="G136" t="str">
        <f t="shared" si="13"/>
        <v>Good</v>
      </c>
      <c r="H136">
        <v>8</v>
      </c>
      <c r="I136" t="str">
        <f t="shared" si="14"/>
        <v>Good</v>
      </c>
      <c r="J136">
        <v>60</v>
      </c>
      <c r="K136" s="1">
        <f t="shared" si="15"/>
        <v>2.5</v>
      </c>
      <c r="L136" s="1" t="str">
        <f t="shared" si="16"/>
        <v>Highly Active</v>
      </c>
      <c r="M136">
        <v>5</v>
      </c>
      <c r="N136" t="s">
        <v>19</v>
      </c>
      <c r="O136" t="s">
        <v>44</v>
      </c>
      <c r="P136">
        <v>68</v>
      </c>
      <c r="Q136">
        <v>8000</v>
      </c>
      <c r="R136" t="str">
        <f t="shared" si="17"/>
        <v>Half Achieved</v>
      </c>
      <c r="S136" t="s">
        <v>17</v>
      </c>
    </row>
    <row r="137" spans="1:19" x14ac:dyDescent="0.25">
      <c r="A137">
        <v>136</v>
      </c>
      <c r="B137" t="s">
        <v>13</v>
      </c>
      <c r="C137">
        <v>38</v>
      </c>
      <c r="D137" t="str">
        <f t="shared" si="12"/>
        <v>30's</v>
      </c>
      <c r="E137" t="s">
        <v>41</v>
      </c>
      <c r="F137">
        <v>7.3</v>
      </c>
      <c r="G137" t="str">
        <f t="shared" si="13"/>
        <v>Good</v>
      </c>
      <c r="H137">
        <v>8</v>
      </c>
      <c r="I137" t="str">
        <f t="shared" si="14"/>
        <v>Good</v>
      </c>
      <c r="J137">
        <v>60</v>
      </c>
      <c r="K137" s="1">
        <f t="shared" si="15"/>
        <v>2.5</v>
      </c>
      <c r="L137" s="1" t="str">
        <f t="shared" si="16"/>
        <v>Highly Active</v>
      </c>
      <c r="M137">
        <v>5</v>
      </c>
      <c r="N137" t="s">
        <v>19</v>
      </c>
      <c r="O137" t="s">
        <v>44</v>
      </c>
      <c r="P137">
        <v>68</v>
      </c>
      <c r="Q137">
        <v>8000</v>
      </c>
      <c r="R137" t="str">
        <f t="shared" si="17"/>
        <v>Half Achieved</v>
      </c>
      <c r="S137" t="s">
        <v>17</v>
      </c>
    </row>
    <row r="138" spans="1:19" x14ac:dyDescent="0.25">
      <c r="A138">
        <v>137</v>
      </c>
      <c r="B138" t="s">
        <v>28</v>
      </c>
      <c r="C138">
        <v>38</v>
      </c>
      <c r="D138" t="str">
        <f t="shared" si="12"/>
        <v>30's</v>
      </c>
      <c r="E138" t="s">
        <v>34</v>
      </c>
      <c r="F138">
        <v>7.1</v>
      </c>
      <c r="G138" t="str">
        <f t="shared" si="13"/>
        <v>Good</v>
      </c>
      <c r="H138">
        <v>8</v>
      </c>
      <c r="I138" t="str">
        <f t="shared" si="14"/>
        <v>Good</v>
      </c>
      <c r="J138">
        <v>60</v>
      </c>
      <c r="K138" s="1">
        <f t="shared" si="15"/>
        <v>2.5</v>
      </c>
      <c r="L138" s="1" t="str">
        <f t="shared" si="16"/>
        <v>Highly Active</v>
      </c>
      <c r="M138">
        <v>4</v>
      </c>
      <c r="N138" t="s">
        <v>19</v>
      </c>
      <c r="O138" t="s">
        <v>40</v>
      </c>
      <c r="P138">
        <v>68</v>
      </c>
      <c r="Q138">
        <v>7000</v>
      </c>
      <c r="R138" t="str">
        <f t="shared" si="17"/>
        <v>Half Achieved</v>
      </c>
      <c r="S138" t="s">
        <v>17</v>
      </c>
    </row>
    <row r="139" spans="1:19" x14ac:dyDescent="0.25">
      <c r="A139">
        <v>138</v>
      </c>
      <c r="B139" t="s">
        <v>13</v>
      </c>
      <c r="C139">
        <v>38</v>
      </c>
      <c r="D139" t="str">
        <f t="shared" si="12"/>
        <v>30's</v>
      </c>
      <c r="E139" t="s">
        <v>41</v>
      </c>
      <c r="F139">
        <v>7.1</v>
      </c>
      <c r="G139" t="str">
        <f t="shared" si="13"/>
        <v>Good</v>
      </c>
      <c r="H139">
        <v>8</v>
      </c>
      <c r="I139" t="str">
        <f t="shared" si="14"/>
        <v>Good</v>
      </c>
      <c r="J139">
        <v>60</v>
      </c>
      <c r="K139" s="1">
        <f t="shared" si="15"/>
        <v>2.5</v>
      </c>
      <c r="L139" s="1" t="str">
        <f t="shared" si="16"/>
        <v>Highly Active</v>
      </c>
      <c r="M139">
        <v>5</v>
      </c>
      <c r="N139" t="s">
        <v>19</v>
      </c>
      <c r="O139" t="s">
        <v>44</v>
      </c>
      <c r="P139">
        <v>68</v>
      </c>
      <c r="Q139">
        <v>8000</v>
      </c>
      <c r="R139" t="str">
        <f t="shared" si="17"/>
        <v>Half Achieved</v>
      </c>
      <c r="S139" t="s">
        <v>17</v>
      </c>
    </row>
    <row r="140" spans="1:19" x14ac:dyDescent="0.25">
      <c r="A140">
        <v>139</v>
      </c>
      <c r="B140" t="s">
        <v>28</v>
      </c>
      <c r="C140">
        <v>38</v>
      </c>
      <c r="D140" t="str">
        <f t="shared" si="12"/>
        <v>30's</v>
      </c>
      <c r="E140" t="s">
        <v>34</v>
      </c>
      <c r="F140">
        <v>7.1</v>
      </c>
      <c r="G140" t="str">
        <f t="shared" si="13"/>
        <v>Good</v>
      </c>
      <c r="H140">
        <v>8</v>
      </c>
      <c r="I140" t="str">
        <f t="shared" si="14"/>
        <v>Good</v>
      </c>
      <c r="J140">
        <v>60</v>
      </c>
      <c r="K140" s="1">
        <f t="shared" si="15"/>
        <v>2.5</v>
      </c>
      <c r="L140" s="1" t="str">
        <f t="shared" si="16"/>
        <v>Highly Active</v>
      </c>
      <c r="M140">
        <v>4</v>
      </c>
      <c r="N140" t="s">
        <v>19</v>
      </c>
      <c r="O140" t="s">
        <v>40</v>
      </c>
      <c r="P140">
        <v>68</v>
      </c>
      <c r="Q140">
        <v>7000</v>
      </c>
      <c r="R140" t="str">
        <f t="shared" si="17"/>
        <v>Half Achieved</v>
      </c>
      <c r="S140" t="s">
        <v>17</v>
      </c>
    </row>
    <row r="141" spans="1:19" x14ac:dyDescent="0.25">
      <c r="A141">
        <v>140</v>
      </c>
      <c r="B141" t="s">
        <v>13</v>
      </c>
      <c r="C141">
        <v>38</v>
      </c>
      <c r="D141" t="str">
        <f t="shared" si="12"/>
        <v>30's</v>
      </c>
      <c r="E141" t="s">
        <v>41</v>
      </c>
      <c r="F141">
        <v>7.1</v>
      </c>
      <c r="G141" t="str">
        <f t="shared" si="13"/>
        <v>Good</v>
      </c>
      <c r="H141">
        <v>8</v>
      </c>
      <c r="I141" t="str">
        <f t="shared" si="14"/>
        <v>Good</v>
      </c>
      <c r="J141">
        <v>60</v>
      </c>
      <c r="K141" s="1">
        <f t="shared" si="15"/>
        <v>2.5</v>
      </c>
      <c r="L141" s="1" t="str">
        <f t="shared" si="16"/>
        <v>Highly Active</v>
      </c>
      <c r="M141">
        <v>5</v>
      </c>
      <c r="N141" t="s">
        <v>19</v>
      </c>
      <c r="O141" t="s">
        <v>44</v>
      </c>
      <c r="P141">
        <v>68</v>
      </c>
      <c r="Q141">
        <v>8000</v>
      </c>
      <c r="R141" t="str">
        <f t="shared" si="17"/>
        <v>Half Achieved</v>
      </c>
      <c r="S141" t="s">
        <v>17</v>
      </c>
    </row>
    <row r="142" spans="1:19" x14ac:dyDescent="0.25">
      <c r="A142">
        <v>141</v>
      </c>
      <c r="B142" t="s">
        <v>28</v>
      </c>
      <c r="C142">
        <v>38</v>
      </c>
      <c r="D142" t="str">
        <f t="shared" si="12"/>
        <v>30's</v>
      </c>
      <c r="E142" t="s">
        <v>34</v>
      </c>
      <c r="F142">
        <v>7.1</v>
      </c>
      <c r="G142" t="str">
        <f t="shared" si="13"/>
        <v>Good</v>
      </c>
      <c r="H142">
        <v>8</v>
      </c>
      <c r="I142" t="str">
        <f t="shared" si="14"/>
        <v>Good</v>
      </c>
      <c r="J142">
        <v>60</v>
      </c>
      <c r="K142" s="1">
        <f t="shared" si="15"/>
        <v>2.5</v>
      </c>
      <c r="L142" s="1" t="str">
        <f t="shared" si="16"/>
        <v>Highly Active</v>
      </c>
      <c r="M142">
        <v>4</v>
      </c>
      <c r="N142" t="s">
        <v>19</v>
      </c>
      <c r="O142" t="s">
        <v>40</v>
      </c>
      <c r="P142">
        <v>68</v>
      </c>
      <c r="Q142">
        <v>7000</v>
      </c>
      <c r="R142" t="str">
        <f t="shared" si="17"/>
        <v>Half Achieved</v>
      </c>
      <c r="S142" t="s">
        <v>17</v>
      </c>
    </row>
    <row r="143" spans="1:19" x14ac:dyDescent="0.25">
      <c r="A143">
        <v>142</v>
      </c>
      <c r="B143" t="s">
        <v>13</v>
      </c>
      <c r="C143">
        <v>38</v>
      </c>
      <c r="D143" t="str">
        <f t="shared" si="12"/>
        <v>30's</v>
      </c>
      <c r="E143" t="s">
        <v>41</v>
      </c>
      <c r="F143">
        <v>7.1</v>
      </c>
      <c r="G143" t="str">
        <f t="shared" si="13"/>
        <v>Good</v>
      </c>
      <c r="H143">
        <v>8</v>
      </c>
      <c r="I143" t="str">
        <f t="shared" si="14"/>
        <v>Good</v>
      </c>
      <c r="J143">
        <v>60</v>
      </c>
      <c r="K143" s="1">
        <f t="shared" si="15"/>
        <v>2.5</v>
      </c>
      <c r="L143" s="1" t="str">
        <f t="shared" si="16"/>
        <v>Highly Active</v>
      </c>
      <c r="M143">
        <v>5</v>
      </c>
      <c r="N143" t="s">
        <v>19</v>
      </c>
      <c r="O143" t="s">
        <v>44</v>
      </c>
      <c r="P143">
        <v>68</v>
      </c>
      <c r="Q143">
        <v>8000</v>
      </c>
      <c r="R143" t="str">
        <f t="shared" si="17"/>
        <v>Half Achieved</v>
      </c>
      <c r="S143" t="s">
        <v>17</v>
      </c>
    </row>
    <row r="144" spans="1:19" x14ac:dyDescent="0.25">
      <c r="A144">
        <v>143</v>
      </c>
      <c r="B144" t="s">
        <v>28</v>
      </c>
      <c r="C144">
        <v>38</v>
      </c>
      <c r="D144" t="str">
        <f t="shared" si="12"/>
        <v>30's</v>
      </c>
      <c r="E144" t="s">
        <v>34</v>
      </c>
      <c r="F144">
        <v>7.1</v>
      </c>
      <c r="G144" t="str">
        <f t="shared" si="13"/>
        <v>Good</v>
      </c>
      <c r="H144">
        <v>8</v>
      </c>
      <c r="I144" t="str">
        <f t="shared" si="14"/>
        <v>Good</v>
      </c>
      <c r="J144">
        <v>60</v>
      </c>
      <c r="K144" s="1">
        <f t="shared" si="15"/>
        <v>2.5</v>
      </c>
      <c r="L144" s="1" t="str">
        <f t="shared" si="16"/>
        <v>Highly Active</v>
      </c>
      <c r="M144">
        <v>4</v>
      </c>
      <c r="N144" t="s">
        <v>19</v>
      </c>
      <c r="O144" t="s">
        <v>40</v>
      </c>
      <c r="P144">
        <v>68</v>
      </c>
      <c r="Q144">
        <v>7000</v>
      </c>
      <c r="R144" t="str">
        <f t="shared" si="17"/>
        <v>Half Achieved</v>
      </c>
      <c r="S144" t="s">
        <v>17</v>
      </c>
    </row>
    <row r="145" spans="1:19" x14ac:dyDescent="0.25">
      <c r="A145">
        <v>144</v>
      </c>
      <c r="B145" t="s">
        <v>28</v>
      </c>
      <c r="C145">
        <v>38</v>
      </c>
      <c r="D145" t="str">
        <f t="shared" si="12"/>
        <v>30's</v>
      </c>
      <c r="E145" t="s">
        <v>34</v>
      </c>
      <c r="F145">
        <v>7.1</v>
      </c>
      <c r="G145" t="str">
        <f t="shared" si="13"/>
        <v>Good</v>
      </c>
      <c r="H145">
        <v>8</v>
      </c>
      <c r="I145" t="str">
        <f t="shared" si="14"/>
        <v>Good</v>
      </c>
      <c r="J145">
        <v>60</v>
      </c>
      <c r="K145" s="1">
        <f t="shared" si="15"/>
        <v>2.5</v>
      </c>
      <c r="L145" s="1" t="str">
        <f t="shared" si="16"/>
        <v>Highly Active</v>
      </c>
      <c r="M145">
        <v>4</v>
      </c>
      <c r="N145" t="s">
        <v>19</v>
      </c>
      <c r="O145" t="s">
        <v>40</v>
      </c>
      <c r="P145">
        <v>68</v>
      </c>
      <c r="Q145">
        <v>7000</v>
      </c>
      <c r="R145" t="str">
        <f t="shared" si="17"/>
        <v>Half Achieved</v>
      </c>
      <c r="S145" t="s">
        <v>17</v>
      </c>
    </row>
    <row r="146" spans="1:19" x14ac:dyDescent="0.25">
      <c r="A146">
        <v>145</v>
      </c>
      <c r="B146" t="s">
        <v>13</v>
      </c>
      <c r="C146">
        <v>38</v>
      </c>
      <c r="D146" t="str">
        <f t="shared" si="12"/>
        <v>30's</v>
      </c>
      <c r="E146" t="s">
        <v>41</v>
      </c>
      <c r="F146">
        <v>7.1</v>
      </c>
      <c r="G146" t="str">
        <f t="shared" si="13"/>
        <v>Good</v>
      </c>
      <c r="H146">
        <v>8</v>
      </c>
      <c r="I146" t="str">
        <f t="shared" si="14"/>
        <v>Good</v>
      </c>
      <c r="J146">
        <v>60</v>
      </c>
      <c r="K146" s="1">
        <f t="shared" si="15"/>
        <v>2.5</v>
      </c>
      <c r="L146" s="1" t="str">
        <f t="shared" si="16"/>
        <v>Highly Active</v>
      </c>
      <c r="M146">
        <v>5</v>
      </c>
      <c r="N146" t="s">
        <v>19</v>
      </c>
      <c r="O146" t="s">
        <v>44</v>
      </c>
      <c r="P146">
        <v>68</v>
      </c>
      <c r="Q146">
        <v>8000</v>
      </c>
      <c r="R146" t="str">
        <f t="shared" si="17"/>
        <v>Half Achieved</v>
      </c>
      <c r="S146" t="s">
        <v>24</v>
      </c>
    </row>
    <row r="147" spans="1:19" x14ac:dyDescent="0.25">
      <c r="A147">
        <v>146</v>
      </c>
      <c r="B147" t="s">
        <v>28</v>
      </c>
      <c r="C147">
        <v>38</v>
      </c>
      <c r="D147" t="str">
        <f t="shared" si="12"/>
        <v>30's</v>
      </c>
      <c r="E147" t="s">
        <v>41</v>
      </c>
      <c r="F147">
        <v>7.4</v>
      </c>
      <c r="G147" t="str">
        <f t="shared" si="13"/>
        <v>Good</v>
      </c>
      <c r="H147">
        <v>7</v>
      </c>
      <c r="I147" t="str">
        <f t="shared" si="14"/>
        <v>Good</v>
      </c>
      <c r="J147">
        <v>60</v>
      </c>
      <c r="K147" s="1">
        <f t="shared" si="15"/>
        <v>2.5</v>
      </c>
      <c r="L147" s="1" t="str">
        <f t="shared" si="16"/>
        <v>Highly Active</v>
      </c>
      <c r="M147">
        <v>5</v>
      </c>
      <c r="N147" t="s">
        <v>22</v>
      </c>
      <c r="O147" t="s">
        <v>42</v>
      </c>
      <c r="P147">
        <v>84</v>
      </c>
      <c r="Q147">
        <v>3300</v>
      </c>
      <c r="R147" t="str">
        <f t="shared" si="17"/>
        <v>Partially Achieved</v>
      </c>
      <c r="S147" t="s">
        <v>24</v>
      </c>
    </row>
    <row r="148" spans="1:19" x14ac:dyDescent="0.25">
      <c r="A148">
        <v>147</v>
      </c>
      <c r="B148" t="s">
        <v>13</v>
      </c>
      <c r="C148">
        <v>39</v>
      </c>
      <c r="D148" t="str">
        <f t="shared" si="12"/>
        <v>30's</v>
      </c>
      <c r="E148" t="s">
        <v>41</v>
      </c>
      <c r="F148">
        <v>7.2</v>
      </c>
      <c r="G148" t="str">
        <f t="shared" si="13"/>
        <v>Good</v>
      </c>
      <c r="H148">
        <v>8</v>
      </c>
      <c r="I148" t="str">
        <f t="shared" si="14"/>
        <v>Good</v>
      </c>
      <c r="J148">
        <v>60</v>
      </c>
      <c r="K148" s="1">
        <f t="shared" si="15"/>
        <v>2.5</v>
      </c>
      <c r="L148" s="1" t="str">
        <f t="shared" si="16"/>
        <v>Highly Active</v>
      </c>
      <c r="M148">
        <v>5</v>
      </c>
      <c r="N148" t="s">
        <v>19</v>
      </c>
      <c r="O148" t="s">
        <v>44</v>
      </c>
      <c r="P148">
        <v>68</v>
      </c>
      <c r="Q148">
        <v>8000</v>
      </c>
      <c r="R148" t="str">
        <f t="shared" si="17"/>
        <v>Half Achieved</v>
      </c>
      <c r="S148" t="s">
        <v>25</v>
      </c>
    </row>
    <row r="149" spans="1:19" x14ac:dyDescent="0.25">
      <c r="A149">
        <v>148</v>
      </c>
      <c r="B149" t="s">
        <v>13</v>
      </c>
      <c r="C149">
        <v>39</v>
      </c>
      <c r="D149" t="str">
        <f t="shared" si="12"/>
        <v>30's</v>
      </c>
      <c r="E149" t="s">
        <v>33</v>
      </c>
      <c r="F149">
        <v>6.5</v>
      </c>
      <c r="G149" t="str">
        <f t="shared" si="13"/>
        <v>Low</v>
      </c>
      <c r="H149">
        <v>5</v>
      </c>
      <c r="I149" t="str">
        <f t="shared" si="14"/>
        <v>Good</v>
      </c>
      <c r="J149">
        <v>40</v>
      </c>
      <c r="K149" s="1">
        <f t="shared" si="15"/>
        <v>1.6666666666666667</v>
      </c>
      <c r="L149" s="1" t="str">
        <f t="shared" si="16"/>
        <v>Sedentary</v>
      </c>
      <c r="M149">
        <v>7</v>
      </c>
      <c r="N149" t="s">
        <v>15</v>
      </c>
      <c r="O149" t="s">
        <v>30</v>
      </c>
      <c r="P149">
        <v>80</v>
      </c>
      <c r="Q149">
        <v>4000</v>
      </c>
      <c r="R149" t="str">
        <f t="shared" si="17"/>
        <v>Partially Achieved</v>
      </c>
      <c r="S149" t="s">
        <v>25</v>
      </c>
    </row>
    <row r="150" spans="1:19" x14ac:dyDescent="0.25">
      <c r="A150">
        <v>149</v>
      </c>
      <c r="B150" t="s">
        <v>28</v>
      </c>
      <c r="C150">
        <v>39</v>
      </c>
      <c r="D150" t="str">
        <f t="shared" si="12"/>
        <v>30's</v>
      </c>
      <c r="E150" t="s">
        <v>41</v>
      </c>
      <c r="F150">
        <v>6.9</v>
      </c>
      <c r="G150" t="str">
        <f t="shared" si="13"/>
        <v>Low</v>
      </c>
      <c r="H150">
        <v>7</v>
      </c>
      <c r="I150" t="str">
        <f t="shared" si="14"/>
        <v>Good</v>
      </c>
      <c r="J150">
        <v>50</v>
      </c>
      <c r="K150" s="1">
        <f t="shared" si="15"/>
        <v>2.0833333333333335</v>
      </c>
      <c r="L150" s="1" t="str">
        <f t="shared" si="16"/>
        <v>Highly Active</v>
      </c>
      <c r="M150">
        <v>6</v>
      </c>
      <c r="N150" t="s">
        <v>19</v>
      </c>
      <c r="O150" t="s">
        <v>37</v>
      </c>
      <c r="P150">
        <v>75</v>
      </c>
      <c r="Q150">
        <v>5500</v>
      </c>
      <c r="R150" t="str">
        <f t="shared" si="17"/>
        <v>Half Achieved</v>
      </c>
      <c r="S150" t="s">
        <v>17</v>
      </c>
    </row>
    <row r="151" spans="1:19" x14ac:dyDescent="0.25">
      <c r="A151">
        <v>150</v>
      </c>
      <c r="B151" t="s">
        <v>28</v>
      </c>
      <c r="C151">
        <v>39</v>
      </c>
      <c r="D151" t="str">
        <f t="shared" si="12"/>
        <v>30's</v>
      </c>
      <c r="E151" t="s">
        <v>34</v>
      </c>
      <c r="F151">
        <v>8</v>
      </c>
      <c r="G151" t="str">
        <f t="shared" si="13"/>
        <v>Good</v>
      </c>
      <c r="H151">
        <v>9</v>
      </c>
      <c r="I151" t="str">
        <f t="shared" si="14"/>
        <v>Good</v>
      </c>
      <c r="J151">
        <v>80</v>
      </c>
      <c r="K151" s="1">
        <f t="shared" si="15"/>
        <v>3.3333333333333335</v>
      </c>
      <c r="L151" s="1" t="str">
        <f t="shared" si="16"/>
        <v>Highly Active</v>
      </c>
      <c r="M151">
        <v>3</v>
      </c>
      <c r="N151" t="s">
        <v>19</v>
      </c>
      <c r="O151" t="s">
        <v>45</v>
      </c>
      <c r="P151">
        <v>67</v>
      </c>
      <c r="Q151">
        <v>7500</v>
      </c>
      <c r="R151" t="str">
        <f t="shared" si="17"/>
        <v>Half Achieved</v>
      </c>
      <c r="S151" t="s">
        <v>17</v>
      </c>
    </row>
    <row r="152" spans="1:19" x14ac:dyDescent="0.25">
      <c r="A152">
        <v>151</v>
      </c>
      <c r="B152" t="s">
        <v>28</v>
      </c>
      <c r="C152">
        <v>39</v>
      </c>
      <c r="D152" t="str">
        <f t="shared" si="12"/>
        <v>30's</v>
      </c>
      <c r="E152" t="s">
        <v>34</v>
      </c>
      <c r="F152">
        <v>8</v>
      </c>
      <c r="G152" t="str">
        <f t="shared" si="13"/>
        <v>Good</v>
      </c>
      <c r="H152">
        <v>9</v>
      </c>
      <c r="I152" t="str">
        <f t="shared" si="14"/>
        <v>Good</v>
      </c>
      <c r="J152">
        <v>80</v>
      </c>
      <c r="K152" s="1">
        <f t="shared" si="15"/>
        <v>3.3333333333333335</v>
      </c>
      <c r="L152" s="1" t="str">
        <f t="shared" si="16"/>
        <v>Highly Active</v>
      </c>
      <c r="M152">
        <v>3</v>
      </c>
      <c r="N152" t="s">
        <v>19</v>
      </c>
      <c r="O152" t="s">
        <v>45</v>
      </c>
      <c r="P152">
        <v>67</v>
      </c>
      <c r="Q152">
        <v>7500</v>
      </c>
      <c r="R152" t="str">
        <f t="shared" si="17"/>
        <v>Half Achieved</v>
      </c>
      <c r="S152" t="s">
        <v>17</v>
      </c>
    </row>
    <row r="153" spans="1:19" x14ac:dyDescent="0.25">
      <c r="A153">
        <v>152</v>
      </c>
      <c r="B153" t="s">
        <v>13</v>
      </c>
      <c r="C153">
        <v>39</v>
      </c>
      <c r="D153" t="str">
        <f t="shared" si="12"/>
        <v>30's</v>
      </c>
      <c r="E153" t="s">
        <v>41</v>
      </c>
      <c r="F153">
        <v>7.2</v>
      </c>
      <c r="G153" t="str">
        <f t="shared" si="13"/>
        <v>Good</v>
      </c>
      <c r="H153">
        <v>8</v>
      </c>
      <c r="I153" t="str">
        <f t="shared" si="14"/>
        <v>Good</v>
      </c>
      <c r="J153">
        <v>60</v>
      </c>
      <c r="K153" s="1">
        <f t="shared" si="15"/>
        <v>2.5</v>
      </c>
      <c r="L153" s="1" t="str">
        <f t="shared" si="16"/>
        <v>Highly Active</v>
      </c>
      <c r="M153">
        <v>5</v>
      </c>
      <c r="N153" t="s">
        <v>19</v>
      </c>
      <c r="O153" t="s">
        <v>44</v>
      </c>
      <c r="P153">
        <v>68</v>
      </c>
      <c r="Q153">
        <v>8000</v>
      </c>
      <c r="R153" t="str">
        <f t="shared" si="17"/>
        <v>Half Achieved</v>
      </c>
      <c r="S153" t="s">
        <v>17</v>
      </c>
    </row>
    <row r="154" spans="1:19" x14ac:dyDescent="0.25">
      <c r="A154">
        <v>153</v>
      </c>
      <c r="B154" t="s">
        <v>13</v>
      </c>
      <c r="C154">
        <v>39</v>
      </c>
      <c r="D154" t="str">
        <f t="shared" si="12"/>
        <v>30's</v>
      </c>
      <c r="E154" t="s">
        <v>41</v>
      </c>
      <c r="F154">
        <v>7.2</v>
      </c>
      <c r="G154" t="str">
        <f t="shared" si="13"/>
        <v>Good</v>
      </c>
      <c r="H154">
        <v>8</v>
      </c>
      <c r="I154" t="str">
        <f t="shared" si="14"/>
        <v>Good</v>
      </c>
      <c r="J154">
        <v>60</v>
      </c>
      <c r="K154" s="1">
        <f t="shared" si="15"/>
        <v>2.5</v>
      </c>
      <c r="L154" s="1" t="str">
        <f t="shared" si="16"/>
        <v>Highly Active</v>
      </c>
      <c r="M154">
        <v>5</v>
      </c>
      <c r="N154" t="s">
        <v>19</v>
      </c>
      <c r="O154" t="s">
        <v>44</v>
      </c>
      <c r="P154">
        <v>68</v>
      </c>
      <c r="Q154">
        <v>8000</v>
      </c>
      <c r="R154" t="str">
        <f t="shared" si="17"/>
        <v>Half Achieved</v>
      </c>
      <c r="S154" t="s">
        <v>17</v>
      </c>
    </row>
    <row r="155" spans="1:19" x14ac:dyDescent="0.25">
      <c r="A155">
        <v>154</v>
      </c>
      <c r="B155" t="s">
        <v>13</v>
      </c>
      <c r="C155">
        <v>39</v>
      </c>
      <c r="D155" t="str">
        <f t="shared" si="12"/>
        <v>30's</v>
      </c>
      <c r="E155" t="s">
        <v>41</v>
      </c>
      <c r="F155">
        <v>7.2</v>
      </c>
      <c r="G155" t="str">
        <f t="shared" si="13"/>
        <v>Good</v>
      </c>
      <c r="H155">
        <v>8</v>
      </c>
      <c r="I155" t="str">
        <f t="shared" si="14"/>
        <v>Good</v>
      </c>
      <c r="J155">
        <v>60</v>
      </c>
      <c r="K155" s="1">
        <f t="shared" si="15"/>
        <v>2.5</v>
      </c>
      <c r="L155" s="1" t="str">
        <f t="shared" si="16"/>
        <v>Highly Active</v>
      </c>
      <c r="M155">
        <v>5</v>
      </c>
      <c r="N155" t="s">
        <v>19</v>
      </c>
      <c r="O155" t="s">
        <v>44</v>
      </c>
      <c r="P155">
        <v>68</v>
      </c>
      <c r="Q155">
        <v>8000</v>
      </c>
      <c r="R155" t="str">
        <f t="shared" si="17"/>
        <v>Half Achieved</v>
      </c>
      <c r="S155" t="s">
        <v>17</v>
      </c>
    </row>
    <row r="156" spans="1:19" x14ac:dyDescent="0.25">
      <c r="A156">
        <v>155</v>
      </c>
      <c r="B156" t="s">
        <v>13</v>
      </c>
      <c r="C156">
        <v>39</v>
      </c>
      <c r="D156" t="str">
        <f t="shared" si="12"/>
        <v>30's</v>
      </c>
      <c r="E156" t="s">
        <v>41</v>
      </c>
      <c r="F156">
        <v>7.2</v>
      </c>
      <c r="G156" t="str">
        <f t="shared" si="13"/>
        <v>Good</v>
      </c>
      <c r="H156">
        <v>8</v>
      </c>
      <c r="I156" t="str">
        <f t="shared" si="14"/>
        <v>Good</v>
      </c>
      <c r="J156">
        <v>60</v>
      </c>
      <c r="K156" s="1">
        <f t="shared" si="15"/>
        <v>2.5</v>
      </c>
      <c r="L156" s="1" t="str">
        <f t="shared" si="16"/>
        <v>Highly Active</v>
      </c>
      <c r="M156">
        <v>5</v>
      </c>
      <c r="N156" t="s">
        <v>19</v>
      </c>
      <c r="O156" t="s">
        <v>44</v>
      </c>
      <c r="P156">
        <v>68</v>
      </c>
      <c r="Q156">
        <v>8000</v>
      </c>
      <c r="R156" t="str">
        <f t="shared" si="17"/>
        <v>Half Achieved</v>
      </c>
      <c r="S156" t="s">
        <v>17</v>
      </c>
    </row>
    <row r="157" spans="1:19" x14ac:dyDescent="0.25">
      <c r="A157">
        <v>156</v>
      </c>
      <c r="B157" t="s">
        <v>13</v>
      </c>
      <c r="C157">
        <v>39</v>
      </c>
      <c r="D157" t="str">
        <f t="shared" si="12"/>
        <v>30's</v>
      </c>
      <c r="E157" t="s">
        <v>41</v>
      </c>
      <c r="F157">
        <v>7.2</v>
      </c>
      <c r="G157" t="str">
        <f t="shared" si="13"/>
        <v>Good</v>
      </c>
      <c r="H157">
        <v>8</v>
      </c>
      <c r="I157" t="str">
        <f t="shared" si="14"/>
        <v>Good</v>
      </c>
      <c r="J157">
        <v>60</v>
      </c>
      <c r="K157" s="1">
        <f t="shared" si="15"/>
        <v>2.5</v>
      </c>
      <c r="L157" s="1" t="str">
        <f t="shared" si="16"/>
        <v>Highly Active</v>
      </c>
      <c r="M157">
        <v>5</v>
      </c>
      <c r="N157" t="s">
        <v>19</v>
      </c>
      <c r="O157" t="s">
        <v>44</v>
      </c>
      <c r="P157">
        <v>68</v>
      </c>
      <c r="Q157">
        <v>8000</v>
      </c>
      <c r="R157" t="str">
        <f t="shared" si="17"/>
        <v>Half Achieved</v>
      </c>
      <c r="S157" t="s">
        <v>17</v>
      </c>
    </row>
    <row r="158" spans="1:19" x14ac:dyDescent="0.25">
      <c r="A158">
        <v>157</v>
      </c>
      <c r="B158" t="s">
        <v>13</v>
      </c>
      <c r="C158">
        <v>39</v>
      </c>
      <c r="D158" t="str">
        <f t="shared" si="12"/>
        <v>30's</v>
      </c>
      <c r="E158" t="s">
        <v>41</v>
      </c>
      <c r="F158">
        <v>7.2</v>
      </c>
      <c r="G158" t="str">
        <f t="shared" si="13"/>
        <v>Good</v>
      </c>
      <c r="H158">
        <v>8</v>
      </c>
      <c r="I158" t="str">
        <f t="shared" si="14"/>
        <v>Good</v>
      </c>
      <c r="J158">
        <v>60</v>
      </c>
      <c r="K158" s="1">
        <f t="shared" si="15"/>
        <v>2.5</v>
      </c>
      <c r="L158" s="1" t="str">
        <f t="shared" si="16"/>
        <v>Highly Active</v>
      </c>
      <c r="M158">
        <v>5</v>
      </c>
      <c r="N158" t="s">
        <v>19</v>
      </c>
      <c r="O158" t="s">
        <v>44</v>
      </c>
      <c r="P158">
        <v>68</v>
      </c>
      <c r="Q158">
        <v>8000</v>
      </c>
      <c r="R158" t="str">
        <f t="shared" si="17"/>
        <v>Half Achieved</v>
      </c>
      <c r="S158" t="s">
        <v>17</v>
      </c>
    </row>
    <row r="159" spans="1:19" x14ac:dyDescent="0.25">
      <c r="A159">
        <v>158</v>
      </c>
      <c r="B159" t="s">
        <v>13</v>
      </c>
      <c r="C159">
        <v>39</v>
      </c>
      <c r="D159" t="str">
        <f t="shared" si="12"/>
        <v>30's</v>
      </c>
      <c r="E159" t="s">
        <v>41</v>
      </c>
      <c r="F159">
        <v>7.2</v>
      </c>
      <c r="G159" t="str">
        <f t="shared" si="13"/>
        <v>Good</v>
      </c>
      <c r="H159">
        <v>8</v>
      </c>
      <c r="I159" t="str">
        <f t="shared" si="14"/>
        <v>Good</v>
      </c>
      <c r="J159">
        <v>60</v>
      </c>
      <c r="K159" s="1">
        <f t="shared" si="15"/>
        <v>2.5</v>
      </c>
      <c r="L159" s="1" t="str">
        <f t="shared" si="16"/>
        <v>Highly Active</v>
      </c>
      <c r="M159">
        <v>5</v>
      </c>
      <c r="N159" t="s">
        <v>19</v>
      </c>
      <c r="O159" t="s">
        <v>44</v>
      </c>
      <c r="P159">
        <v>68</v>
      </c>
      <c r="Q159">
        <v>8000</v>
      </c>
      <c r="R159" t="str">
        <f t="shared" si="17"/>
        <v>Half Achieved</v>
      </c>
      <c r="S159" t="s">
        <v>17</v>
      </c>
    </row>
    <row r="160" spans="1:19" x14ac:dyDescent="0.25">
      <c r="A160">
        <v>159</v>
      </c>
      <c r="B160" t="s">
        <v>13</v>
      </c>
      <c r="C160">
        <v>39</v>
      </c>
      <c r="D160" t="str">
        <f t="shared" si="12"/>
        <v>30's</v>
      </c>
      <c r="E160" t="s">
        <v>41</v>
      </c>
      <c r="F160">
        <v>7.2</v>
      </c>
      <c r="G160" t="str">
        <f t="shared" si="13"/>
        <v>Good</v>
      </c>
      <c r="H160">
        <v>8</v>
      </c>
      <c r="I160" t="str">
        <f t="shared" si="14"/>
        <v>Good</v>
      </c>
      <c r="J160">
        <v>60</v>
      </c>
      <c r="K160" s="1">
        <f t="shared" si="15"/>
        <v>2.5</v>
      </c>
      <c r="L160" s="1" t="str">
        <f t="shared" si="16"/>
        <v>Highly Active</v>
      </c>
      <c r="M160">
        <v>5</v>
      </c>
      <c r="N160" t="s">
        <v>19</v>
      </c>
      <c r="O160" t="s">
        <v>44</v>
      </c>
      <c r="P160">
        <v>68</v>
      </c>
      <c r="Q160">
        <v>8000</v>
      </c>
      <c r="R160" t="str">
        <f t="shared" si="17"/>
        <v>Half Achieved</v>
      </c>
      <c r="S160" t="s">
        <v>17</v>
      </c>
    </row>
    <row r="161" spans="1:19" x14ac:dyDescent="0.25">
      <c r="A161">
        <v>160</v>
      </c>
      <c r="B161" t="s">
        <v>13</v>
      </c>
      <c r="C161">
        <v>39</v>
      </c>
      <c r="D161" t="str">
        <f t="shared" si="12"/>
        <v>30's</v>
      </c>
      <c r="E161" t="s">
        <v>41</v>
      </c>
      <c r="F161">
        <v>7.2</v>
      </c>
      <c r="G161" t="str">
        <f t="shared" si="13"/>
        <v>Good</v>
      </c>
      <c r="H161">
        <v>8</v>
      </c>
      <c r="I161" t="str">
        <f t="shared" si="14"/>
        <v>Good</v>
      </c>
      <c r="J161">
        <v>60</v>
      </c>
      <c r="K161" s="1">
        <f t="shared" si="15"/>
        <v>2.5</v>
      </c>
      <c r="L161" s="1" t="str">
        <f t="shared" si="16"/>
        <v>Highly Active</v>
      </c>
      <c r="M161">
        <v>5</v>
      </c>
      <c r="N161" t="s">
        <v>19</v>
      </c>
      <c r="O161" t="s">
        <v>44</v>
      </c>
      <c r="P161">
        <v>68</v>
      </c>
      <c r="Q161">
        <v>8000</v>
      </c>
      <c r="R161" t="str">
        <f t="shared" si="17"/>
        <v>Half Achieved</v>
      </c>
      <c r="S161" t="s">
        <v>17</v>
      </c>
    </row>
    <row r="162" spans="1:19" x14ac:dyDescent="0.25">
      <c r="A162">
        <v>161</v>
      </c>
      <c r="B162" t="s">
        <v>13</v>
      </c>
      <c r="C162">
        <v>39</v>
      </c>
      <c r="D162" t="str">
        <f t="shared" si="12"/>
        <v>30's</v>
      </c>
      <c r="E162" t="s">
        <v>41</v>
      </c>
      <c r="F162">
        <v>7.2</v>
      </c>
      <c r="G162" t="str">
        <f t="shared" si="13"/>
        <v>Good</v>
      </c>
      <c r="H162">
        <v>8</v>
      </c>
      <c r="I162" t="str">
        <f t="shared" si="14"/>
        <v>Good</v>
      </c>
      <c r="J162">
        <v>60</v>
      </c>
      <c r="K162" s="1">
        <f t="shared" si="15"/>
        <v>2.5</v>
      </c>
      <c r="L162" s="1" t="str">
        <f t="shared" si="16"/>
        <v>Highly Active</v>
      </c>
      <c r="M162">
        <v>5</v>
      </c>
      <c r="N162" t="s">
        <v>19</v>
      </c>
      <c r="O162" t="s">
        <v>44</v>
      </c>
      <c r="P162">
        <v>68</v>
      </c>
      <c r="Q162">
        <v>8000</v>
      </c>
      <c r="R162" t="str">
        <f t="shared" si="17"/>
        <v>Half Achieved</v>
      </c>
      <c r="S162" t="s">
        <v>17</v>
      </c>
    </row>
    <row r="163" spans="1:19" x14ac:dyDescent="0.25">
      <c r="A163">
        <v>162</v>
      </c>
      <c r="B163" t="s">
        <v>28</v>
      </c>
      <c r="C163">
        <v>40</v>
      </c>
      <c r="D163" t="str">
        <f t="shared" si="12"/>
        <v>40's</v>
      </c>
      <c r="E163" t="s">
        <v>34</v>
      </c>
      <c r="F163">
        <v>7.2</v>
      </c>
      <c r="G163" t="str">
        <f t="shared" si="13"/>
        <v>Good</v>
      </c>
      <c r="H163">
        <v>8</v>
      </c>
      <c r="I163" t="str">
        <f t="shared" si="14"/>
        <v>Good</v>
      </c>
      <c r="J163">
        <v>55</v>
      </c>
      <c r="K163" s="1">
        <f t="shared" si="15"/>
        <v>2.2916666666666665</v>
      </c>
      <c r="L163" s="1" t="str">
        <f t="shared" si="16"/>
        <v>Highly Active</v>
      </c>
      <c r="M163">
        <v>6</v>
      </c>
      <c r="N163" t="s">
        <v>19</v>
      </c>
      <c r="O163" t="s">
        <v>46</v>
      </c>
      <c r="P163">
        <v>73</v>
      </c>
      <c r="Q163">
        <v>7300</v>
      </c>
      <c r="R163" t="str">
        <f t="shared" si="17"/>
        <v>Half Achieved</v>
      </c>
      <c r="S163" t="s">
        <v>17</v>
      </c>
    </row>
    <row r="164" spans="1:19" x14ac:dyDescent="0.25">
      <c r="A164">
        <v>163</v>
      </c>
      <c r="B164" t="s">
        <v>28</v>
      </c>
      <c r="C164">
        <v>40</v>
      </c>
      <c r="D164" t="str">
        <f t="shared" si="12"/>
        <v>40's</v>
      </c>
      <c r="E164" t="s">
        <v>34</v>
      </c>
      <c r="F164">
        <v>7.2</v>
      </c>
      <c r="G164" t="str">
        <f t="shared" si="13"/>
        <v>Good</v>
      </c>
      <c r="H164">
        <v>8</v>
      </c>
      <c r="I164" t="str">
        <f t="shared" si="14"/>
        <v>Good</v>
      </c>
      <c r="J164">
        <v>55</v>
      </c>
      <c r="K164" s="1">
        <f t="shared" si="15"/>
        <v>2.2916666666666665</v>
      </c>
      <c r="L164" s="1" t="str">
        <f t="shared" si="16"/>
        <v>Highly Active</v>
      </c>
      <c r="M164">
        <v>6</v>
      </c>
      <c r="N164" t="s">
        <v>19</v>
      </c>
      <c r="O164" t="s">
        <v>46</v>
      </c>
      <c r="P164">
        <v>73</v>
      </c>
      <c r="Q164">
        <v>7300</v>
      </c>
      <c r="R164" t="str">
        <f t="shared" si="17"/>
        <v>Half Achieved</v>
      </c>
      <c r="S164" t="s">
        <v>17</v>
      </c>
    </row>
    <row r="165" spans="1:19" x14ac:dyDescent="0.25">
      <c r="A165">
        <v>164</v>
      </c>
      <c r="B165" t="s">
        <v>13</v>
      </c>
      <c r="C165">
        <v>40</v>
      </c>
      <c r="D165" t="str">
        <f t="shared" si="12"/>
        <v>40's</v>
      </c>
      <c r="E165" t="s">
        <v>41</v>
      </c>
      <c r="F165">
        <v>7.9</v>
      </c>
      <c r="G165" t="str">
        <f t="shared" si="13"/>
        <v>Good</v>
      </c>
      <c r="H165">
        <v>8</v>
      </c>
      <c r="I165" t="str">
        <f t="shared" si="14"/>
        <v>Good</v>
      </c>
      <c r="J165">
        <v>90</v>
      </c>
      <c r="K165" s="1">
        <f t="shared" si="15"/>
        <v>3.75</v>
      </c>
      <c r="L165" s="1" t="str">
        <f t="shared" si="16"/>
        <v>Highly Active</v>
      </c>
      <c r="M165">
        <v>5</v>
      </c>
      <c r="N165" t="s">
        <v>19</v>
      </c>
      <c r="O165" t="s">
        <v>44</v>
      </c>
      <c r="P165">
        <v>68</v>
      </c>
      <c r="Q165">
        <v>8000</v>
      </c>
      <c r="R165" t="str">
        <f t="shared" si="17"/>
        <v>Half Achieved</v>
      </c>
      <c r="S165" t="s">
        <v>17</v>
      </c>
    </row>
    <row r="166" spans="1:19" x14ac:dyDescent="0.25">
      <c r="A166">
        <v>165</v>
      </c>
      <c r="B166" t="s">
        <v>13</v>
      </c>
      <c r="C166">
        <v>40</v>
      </c>
      <c r="D166" t="str">
        <f t="shared" si="12"/>
        <v>40's</v>
      </c>
      <c r="E166" t="s">
        <v>41</v>
      </c>
      <c r="F166">
        <v>7.9</v>
      </c>
      <c r="G166" t="str">
        <f t="shared" si="13"/>
        <v>Good</v>
      </c>
      <c r="H166">
        <v>8</v>
      </c>
      <c r="I166" t="str">
        <f t="shared" si="14"/>
        <v>Good</v>
      </c>
      <c r="J166">
        <v>90</v>
      </c>
      <c r="K166" s="1">
        <f t="shared" si="15"/>
        <v>3.75</v>
      </c>
      <c r="L166" s="1" t="str">
        <f t="shared" si="16"/>
        <v>Highly Active</v>
      </c>
      <c r="M166">
        <v>5</v>
      </c>
      <c r="N166" t="s">
        <v>19</v>
      </c>
      <c r="O166" t="s">
        <v>44</v>
      </c>
      <c r="P166">
        <v>68</v>
      </c>
      <c r="Q166">
        <v>8000</v>
      </c>
      <c r="R166" t="str">
        <f t="shared" si="17"/>
        <v>Half Achieved</v>
      </c>
      <c r="S166" t="s">
        <v>17</v>
      </c>
    </row>
    <row r="167" spans="1:19" x14ac:dyDescent="0.25">
      <c r="A167">
        <v>166</v>
      </c>
      <c r="B167" t="s">
        <v>13</v>
      </c>
      <c r="C167">
        <v>41</v>
      </c>
      <c r="D167" t="str">
        <f t="shared" si="12"/>
        <v>40's</v>
      </c>
      <c r="E167" t="s">
        <v>41</v>
      </c>
      <c r="F167">
        <v>7.6</v>
      </c>
      <c r="G167" t="str">
        <f t="shared" si="13"/>
        <v>Good</v>
      </c>
      <c r="H167">
        <v>8</v>
      </c>
      <c r="I167" t="str">
        <f t="shared" si="14"/>
        <v>Good</v>
      </c>
      <c r="J167">
        <v>90</v>
      </c>
      <c r="K167" s="1">
        <f t="shared" si="15"/>
        <v>3.75</v>
      </c>
      <c r="L167" s="1" t="str">
        <f t="shared" si="16"/>
        <v>Highly Active</v>
      </c>
      <c r="M167">
        <v>5</v>
      </c>
      <c r="N167" t="s">
        <v>19</v>
      </c>
      <c r="O167" t="s">
        <v>44</v>
      </c>
      <c r="P167">
        <v>70</v>
      </c>
      <c r="Q167">
        <v>8000</v>
      </c>
      <c r="R167" t="str">
        <f t="shared" si="17"/>
        <v>Half Achieved</v>
      </c>
      <c r="S167" t="s">
        <v>25</v>
      </c>
    </row>
    <row r="168" spans="1:19" x14ac:dyDescent="0.25">
      <c r="A168">
        <v>167</v>
      </c>
      <c r="B168" t="s">
        <v>13</v>
      </c>
      <c r="C168">
        <v>41</v>
      </c>
      <c r="D168" t="str">
        <f t="shared" si="12"/>
        <v>40's</v>
      </c>
      <c r="E168" t="s">
        <v>33</v>
      </c>
      <c r="F168">
        <v>7.3</v>
      </c>
      <c r="G168" t="str">
        <f t="shared" si="13"/>
        <v>Good</v>
      </c>
      <c r="H168">
        <v>8</v>
      </c>
      <c r="I168" t="str">
        <f t="shared" si="14"/>
        <v>Good</v>
      </c>
      <c r="J168">
        <v>70</v>
      </c>
      <c r="K168" s="1">
        <f t="shared" si="15"/>
        <v>2.9166666666666665</v>
      </c>
      <c r="L168" s="1" t="str">
        <f t="shared" si="16"/>
        <v>Highly Active</v>
      </c>
      <c r="M168">
        <v>6</v>
      </c>
      <c r="N168" t="s">
        <v>19</v>
      </c>
      <c r="O168" t="s">
        <v>47</v>
      </c>
      <c r="P168">
        <v>72</v>
      </c>
      <c r="Q168">
        <v>6200</v>
      </c>
      <c r="R168" t="str">
        <f t="shared" si="17"/>
        <v>Half Achieved</v>
      </c>
      <c r="S168" t="s">
        <v>17</v>
      </c>
    </row>
    <row r="169" spans="1:19" x14ac:dyDescent="0.25">
      <c r="A169">
        <v>168</v>
      </c>
      <c r="B169" t="s">
        <v>13</v>
      </c>
      <c r="C169">
        <v>41</v>
      </c>
      <c r="D169" t="str">
        <f t="shared" si="12"/>
        <v>40's</v>
      </c>
      <c r="E169" t="s">
        <v>41</v>
      </c>
      <c r="F169">
        <v>7.1</v>
      </c>
      <c r="G169" t="str">
        <f t="shared" si="13"/>
        <v>Good</v>
      </c>
      <c r="H169">
        <v>7</v>
      </c>
      <c r="I169" t="str">
        <f t="shared" si="14"/>
        <v>Good</v>
      </c>
      <c r="J169">
        <v>55</v>
      </c>
      <c r="K169" s="1">
        <f t="shared" si="15"/>
        <v>2.2916666666666665</v>
      </c>
      <c r="L169" s="1" t="str">
        <f t="shared" si="16"/>
        <v>Highly Active</v>
      </c>
      <c r="M169">
        <v>6</v>
      </c>
      <c r="N169" t="s">
        <v>15</v>
      </c>
      <c r="O169" t="s">
        <v>48</v>
      </c>
      <c r="P169">
        <v>72</v>
      </c>
      <c r="Q169">
        <v>6000</v>
      </c>
      <c r="R169" t="str">
        <f t="shared" si="17"/>
        <v>Half Achieved</v>
      </c>
      <c r="S169" t="s">
        <v>17</v>
      </c>
    </row>
    <row r="170" spans="1:19" x14ac:dyDescent="0.25">
      <c r="A170">
        <v>169</v>
      </c>
      <c r="B170" t="s">
        <v>13</v>
      </c>
      <c r="C170">
        <v>41</v>
      </c>
      <c r="D170" t="str">
        <f t="shared" si="12"/>
        <v>40's</v>
      </c>
      <c r="E170" t="s">
        <v>41</v>
      </c>
      <c r="F170">
        <v>7.1</v>
      </c>
      <c r="G170" t="str">
        <f t="shared" si="13"/>
        <v>Good</v>
      </c>
      <c r="H170">
        <v>7</v>
      </c>
      <c r="I170" t="str">
        <f t="shared" si="14"/>
        <v>Good</v>
      </c>
      <c r="J170">
        <v>55</v>
      </c>
      <c r="K170" s="1">
        <f t="shared" si="15"/>
        <v>2.2916666666666665</v>
      </c>
      <c r="L170" s="1" t="str">
        <f t="shared" si="16"/>
        <v>Highly Active</v>
      </c>
      <c r="M170">
        <v>6</v>
      </c>
      <c r="N170" t="s">
        <v>15</v>
      </c>
      <c r="O170" t="s">
        <v>48</v>
      </c>
      <c r="P170">
        <v>72</v>
      </c>
      <c r="Q170">
        <v>6000</v>
      </c>
      <c r="R170" t="str">
        <f t="shared" si="17"/>
        <v>Half Achieved</v>
      </c>
      <c r="S170" t="s">
        <v>17</v>
      </c>
    </row>
    <row r="171" spans="1:19" x14ac:dyDescent="0.25">
      <c r="A171">
        <v>170</v>
      </c>
      <c r="B171" t="s">
        <v>13</v>
      </c>
      <c r="C171">
        <v>41</v>
      </c>
      <c r="D171" t="str">
        <f t="shared" si="12"/>
        <v>40's</v>
      </c>
      <c r="E171" t="s">
        <v>41</v>
      </c>
      <c r="F171">
        <v>7.7</v>
      </c>
      <c r="G171" t="str">
        <f t="shared" si="13"/>
        <v>Good</v>
      </c>
      <c r="H171">
        <v>8</v>
      </c>
      <c r="I171" t="str">
        <f t="shared" si="14"/>
        <v>Good</v>
      </c>
      <c r="J171">
        <v>90</v>
      </c>
      <c r="K171" s="1">
        <f t="shared" si="15"/>
        <v>3.75</v>
      </c>
      <c r="L171" s="1" t="str">
        <f t="shared" si="16"/>
        <v>Highly Active</v>
      </c>
      <c r="M171">
        <v>5</v>
      </c>
      <c r="N171" t="s">
        <v>19</v>
      </c>
      <c r="O171" t="s">
        <v>44</v>
      </c>
      <c r="P171">
        <v>70</v>
      </c>
      <c r="Q171">
        <v>8000</v>
      </c>
      <c r="R171" t="str">
        <f t="shared" si="17"/>
        <v>Half Achieved</v>
      </c>
      <c r="S171" t="s">
        <v>17</v>
      </c>
    </row>
    <row r="172" spans="1:19" x14ac:dyDescent="0.25">
      <c r="A172">
        <v>171</v>
      </c>
      <c r="B172" t="s">
        <v>13</v>
      </c>
      <c r="C172">
        <v>41</v>
      </c>
      <c r="D172" t="str">
        <f t="shared" si="12"/>
        <v>40's</v>
      </c>
      <c r="E172" t="s">
        <v>41</v>
      </c>
      <c r="F172">
        <v>7.7</v>
      </c>
      <c r="G172" t="str">
        <f t="shared" si="13"/>
        <v>Good</v>
      </c>
      <c r="H172">
        <v>8</v>
      </c>
      <c r="I172" t="str">
        <f t="shared" si="14"/>
        <v>Good</v>
      </c>
      <c r="J172">
        <v>90</v>
      </c>
      <c r="K172" s="1">
        <f t="shared" si="15"/>
        <v>3.75</v>
      </c>
      <c r="L172" s="1" t="str">
        <f t="shared" si="16"/>
        <v>Highly Active</v>
      </c>
      <c r="M172">
        <v>5</v>
      </c>
      <c r="N172" t="s">
        <v>19</v>
      </c>
      <c r="O172" t="s">
        <v>44</v>
      </c>
      <c r="P172">
        <v>70</v>
      </c>
      <c r="Q172">
        <v>8000</v>
      </c>
      <c r="R172" t="str">
        <f t="shared" si="17"/>
        <v>Half Achieved</v>
      </c>
      <c r="S172" t="s">
        <v>17</v>
      </c>
    </row>
    <row r="173" spans="1:19" x14ac:dyDescent="0.25">
      <c r="A173">
        <v>172</v>
      </c>
      <c r="B173" t="s">
        <v>13</v>
      </c>
      <c r="C173">
        <v>41</v>
      </c>
      <c r="D173" t="str">
        <f t="shared" si="12"/>
        <v>40's</v>
      </c>
      <c r="E173" t="s">
        <v>41</v>
      </c>
      <c r="F173">
        <v>7.7</v>
      </c>
      <c r="G173" t="str">
        <f t="shared" si="13"/>
        <v>Good</v>
      </c>
      <c r="H173">
        <v>8</v>
      </c>
      <c r="I173" t="str">
        <f t="shared" si="14"/>
        <v>Good</v>
      </c>
      <c r="J173">
        <v>90</v>
      </c>
      <c r="K173" s="1">
        <f t="shared" si="15"/>
        <v>3.75</v>
      </c>
      <c r="L173" s="1" t="str">
        <f t="shared" si="16"/>
        <v>Highly Active</v>
      </c>
      <c r="M173">
        <v>5</v>
      </c>
      <c r="N173" t="s">
        <v>19</v>
      </c>
      <c r="O173" t="s">
        <v>44</v>
      </c>
      <c r="P173">
        <v>70</v>
      </c>
      <c r="Q173">
        <v>8000</v>
      </c>
      <c r="R173" t="str">
        <f t="shared" si="17"/>
        <v>Half Achieved</v>
      </c>
      <c r="S173" t="s">
        <v>17</v>
      </c>
    </row>
    <row r="174" spans="1:19" x14ac:dyDescent="0.25">
      <c r="A174">
        <v>173</v>
      </c>
      <c r="B174" t="s">
        <v>13</v>
      </c>
      <c r="C174">
        <v>41</v>
      </c>
      <c r="D174" t="str">
        <f t="shared" si="12"/>
        <v>40's</v>
      </c>
      <c r="E174" t="s">
        <v>41</v>
      </c>
      <c r="F174">
        <v>7.7</v>
      </c>
      <c r="G174" t="str">
        <f t="shared" si="13"/>
        <v>Good</v>
      </c>
      <c r="H174">
        <v>8</v>
      </c>
      <c r="I174" t="str">
        <f t="shared" si="14"/>
        <v>Good</v>
      </c>
      <c r="J174">
        <v>90</v>
      </c>
      <c r="K174" s="1">
        <f t="shared" si="15"/>
        <v>3.75</v>
      </c>
      <c r="L174" s="1" t="str">
        <f t="shared" si="16"/>
        <v>Highly Active</v>
      </c>
      <c r="M174">
        <v>5</v>
      </c>
      <c r="N174" t="s">
        <v>19</v>
      </c>
      <c r="O174" t="s">
        <v>44</v>
      </c>
      <c r="P174">
        <v>70</v>
      </c>
      <c r="Q174">
        <v>8000</v>
      </c>
      <c r="R174" t="str">
        <f t="shared" si="17"/>
        <v>Half Achieved</v>
      </c>
      <c r="S174" t="s">
        <v>17</v>
      </c>
    </row>
    <row r="175" spans="1:19" x14ac:dyDescent="0.25">
      <c r="A175">
        <v>174</v>
      </c>
      <c r="B175" t="s">
        <v>13</v>
      </c>
      <c r="C175">
        <v>41</v>
      </c>
      <c r="D175" t="str">
        <f t="shared" si="12"/>
        <v>40's</v>
      </c>
      <c r="E175" t="s">
        <v>41</v>
      </c>
      <c r="F175">
        <v>7.7</v>
      </c>
      <c r="G175" t="str">
        <f t="shared" si="13"/>
        <v>Good</v>
      </c>
      <c r="H175">
        <v>8</v>
      </c>
      <c r="I175" t="str">
        <f t="shared" si="14"/>
        <v>Good</v>
      </c>
      <c r="J175">
        <v>90</v>
      </c>
      <c r="K175" s="1">
        <f t="shared" si="15"/>
        <v>3.75</v>
      </c>
      <c r="L175" s="1" t="str">
        <f t="shared" si="16"/>
        <v>Highly Active</v>
      </c>
      <c r="M175">
        <v>5</v>
      </c>
      <c r="N175" t="s">
        <v>19</v>
      </c>
      <c r="O175" t="s">
        <v>44</v>
      </c>
      <c r="P175">
        <v>70</v>
      </c>
      <c r="Q175">
        <v>8000</v>
      </c>
      <c r="R175" t="str">
        <f t="shared" si="17"/>
        <v>Half Achieved</v>
      </c>
      <c r="S175" t="s">
        <v>17</v>
      </c>
    </row>
    <row r="176" spans="1:19" x14ac:dyDescent="0.25">
      <c r="A176">
        <v>175</v>
      </c>
      <c r="B176" t="s">
        <v>13</v>
      </c>
      <c r="C176">
        <v>41</v>
      </c>
      <c r="D176" t="str">
        <f t="shared" si="12"/>
        <v>40's</v>
      </c>
      <c r="E176" t="s">
        <v>41</v>
      </c>
      <c r="F176">
        <v>7.6</v>
      </c>
      <c r="G176" t="str">
        <f t="shared" si="13"/>
        <v>Good</v>
      </c>
      <c r="H176">
        <v>8</v>
      </c>
      <c r="I176" t="str">
        <f t="shared" si="14"/>
        <v>Good</v>
      </c>
      <c r="J176">
        <v>90</v>
      </c>
      <c r="K176" s="1">
        <f t="shared" si="15"/>
        <v>3.75</v>
      </c>
      <c r="L176" s="1" t="str">
        <f t="shared" si="16"/>
        <v>Highly Active</v>
      </c>
      <c r="M176">
        <v>5</v>
      </c>
      <c r="N176" t="s">
        <v>19</v>
      </c>
      <c r="O176" t="s">
        <v>44</v>
      </c>
      <c r="P176">
        <v>70</v>
      </c>
      <c r="Q176">
        <v>8000</v>
      </c>
      <c r="R176" t="str">
        <f t="shared" si="17"/>
        <v>Half Achieved</v>
      </c>
      <c r="S176" t="s">
        <v>17</v>
      </c>
    </row>
    <row r="177" spans="1:19" x14ac:dyDescent="0.25">
      <c r="A177">
        <v>176</v>
      </c>
      <c r="B177" t="s">
        <v>13</v>
      </c>
      <c r="C177">
        <v>41</v>
      </c>
      <c r="D177" t="str">
        <f t="shared" si="12"/>
        <v>40's</v>
      </c>
      <c r="E177" t="s">
        <v>41</v>
      </c>
      <c r="F177">
        <v>7.6</v>
      </c>
      <c r="G177" t="str">
        <f t="shared" si="13"/>
        <v>Good</v>
      </c>
      <c r="H177">
        <v>8</v>
      </c>
      <c r="I177" t="str">
        <f t="shared" si="14"/>
        <v>Good</v>
      </c>
      <c r="J177">
        <v>90</v>
      </c>
      <c r="K177" s="1">
        <f t="shared" si="15"/>
        <v>3.75</v>
      </c>
      <c r="L177" s="1" t="str">
        <f t="shared" si="16"/>
        <v>Highly Active</v>
      </c>
      <c r="M177">
        <v>5</v>
      </c>
      <c r="N177" t="s">
        <v>19</v>
      </c>
      <c r="O177" t="s">
        <v>44</v>
      </c>
      <c r="P177">
        <v>70</v>
      </c>
      <c r="Q177">
        <v>8000</v>
      </c>
      <c r="R177" t="str">
        <f t="shared" si="17"/>
        <v>Half Achieved</v>
      </c>
      <c r="S177" t="s">
        <v>17</v>
      </c>
    </row>
    <row r="178" spans="1:19" x14ac:dyDescent="0.25">
      <c r="A178">
        <v>177</v>
      </c>
      <c r="B178" t="s">
        <v>13</v>
      </c>
      <c r="C178">
        <v>41</v>
      </c>
      <c r="D178" t="str">
        <f t="shared" si="12"/>
        <v>40's</v>
      </c>
      <c r="E178" t="s">
        <v>41</v>
      </c>
      <c r="F178">
        <v>7.6</v>
      </c>
      <c r="G178" t="str">
        <f t="shared" si="13"/>
        <v>Good</v>
      </c>
      <c r="H178">
        <v>8</v>
      </c>
      <c r="I178" t="str">
        <f t="shared" si="14"/>
        <v>Good</v>
      </c>
      <c r="J178">
        <v>90</v>
      </c>
      <c r="K178" s="1">
        <f t="shared" si="15"/>
        <v>3.75</v>
      </c>
      <c r="L178" s="1" t="str">
        <f t="shared" si="16"/>
        <v>Highly Active</v>
      </c>
      <c r="M178">
        <v>5</v>
      </c>
      <c r="N178" t="s">
        <v>19</v>
      </c>
      <c r="O178" t="s">
        <v>44</v>
      </c>
      <c r="P178">
        <v>70</v>
      </c>
      <c r="Q178">
        <v>8000</v>
      </c>
      <c r="R178" t="str">
        <f t="shared" si="17"/>
        <v>Half Achieved</v>
      </c>
      <c r="S178" t="s">
        <v>17</v>
      </c>
    </row>
    <row r="179" spans="1:19" x14ac:dyDescent="0.25">
      <c r="A179">
        <v>178</v>
      </c>
      <c r="B179" t="s">
        <v>13</v>
      </c>
      <c r="C179">
        <v>42</v>
      </c>
      <c r="D179" t="str">
        <f t="shared" si="12"/>
        <v>40's</v>
      </c>
      <c r="E179" t="s">
        <v>49</v>
      </c>
      <c r="F179">
        <v>6.5</v>
      </c>
      <c r="G179" t="str">
        <f t="shared" si="13"/>
        <v>Low</v>
      </c>
      <c r="H179">
        <v>6</v>
      </c>
      <c r="I179" t="str">
        <f t="shared" si="14"/>
        <v>Good</v>
      </c>
      <c r="J179">
        <v>45</v>
      </c>
      <c r="K179" s="1">
        <f t="shared" si="15"/>
        <v>1.875</v>
      </c>
      <c r="L179" s="1" t="str">
        <f t="shared" si="16"/>
        <v>Active</v>
      </c>
      <c r="M179">
        <v>7</v>
      </c>
      <c r="N179" t="s">
        <v>15</v>
      </c>
      <c r="O179" t="s">
        <v>44</v>
      </c>
      <c r="P179">
        <v>72</v>
      </c>
      <c r="Q179">
        <v>6000</v>
      </c>
      <c r="R179" t="str">
        <f t="shared" si="17"/>
        <v>Half Achieved</v>
      </c>
      <c r="S179" t="s">
        <v>25</v>
      </c>
    </row>
    <row r="180" spans="1:19" x14ac:dyDescent="0.25">
      <c r="A180">
        <v>179</v>
      </c>
      <c r="B180" t="s">
        <v>13</v>
      </c>
      <c r="C180">
        <v>42</v>
      </c>
      <c r="D180" t="str">
        <f t="shared" si="12"/>
        <v>40's</v>
      </c>
      <c r="E180" t="s">
        <v>41</v>
      </c>
      <c r="F180">
        <v>7.8</v>
      </c>
      <c r="G180" t="str">
        <f t="shared" si="13"/>
        <v>Good</v>
      </c>
      <c r="H180">
        <v>8</v>
      </c>
      <c r="I180" t="str">
        <f t="shared" si="14"/>
        <v>Good</v>
      </c>
      <c r="J180">
        <v>90</v>
      </c>
      <c r="K180" s="1">
        <f t="shared" si="15"/>
        <v>3.75</v>
      </c>
      <c r="L180" s="1" t="str">
        <f t="shared" si="16"/>
        <v>Highly Active</v>
      </c>
      <c r="M180">
        <v>5</v>
      </c>
      <c r="N180" t="s">
        <v>19</v>
      </c>
      <c r="O180" t="s">
        <v>44</v>
      </c>
      <c r="P180">
        <v>70</v>
      </c>
      <c r="Q180">
        <v>8000</v>
      </c>
      <c r="R180" t="str">
        <f t="shared" si="17"/>
        <v>Half Achieved</v>
      </c>
      <c r="S180" t="s">
        <v>17</v>
      </c>
    </row>
    <row r="181" spans="1:19" x14ac:dyDescent="0.25">
      <c r="A181">
        <v>180</v>
      </c>
      <c r="B181" t="s">
        <v>13</v>
      </c>
      <c r="C181">
        <v>42</v>
      </c>
      <c r="D181" t="str">
        <f t="shared" si="12"/>
        <v>40's</v>
      </c>
      <c r="E181" t="s">
        <v>41</v>
      </c>
      <c r="F181">
        <v>7.8</v>
      </c>
      <c r="G181" t="str">
        <f t="shared" si="13"/>
        <v>Good</v>
      </c>
      <c r="H181">
        <v>8</v>
      </c>
      <c r="I181" t="str">
        <f t="shared" si="14"/>
        <v>Good</v>
      </c>
      <c r="J181">
        <v>90</v>
      </c>
      <c r="K181" s="1">
        <f t="shared" si="15"/>
        <v>3.75</v>
      </c>
      <c r="L181" s="1" t="str">
        <f t="shared" si="16"/>
        <v>Highly Active</v>
      </c>
      <c r="M181">
        <v>5</v>
      </c>
      <c r="N181" t="s">
        <v>19</v>
      </c>
      <c r="O181" t="s">
        <v>44</v>
      </c>
      <c r="P181">
        <v>70</v>
      </c>
      <c r="Q181">
        <v>8000</v>
      </c>
      <c r="R181" t="str">
        <f t="shared" si="17"/>
        <v>Half Achieved</v>
      </c>
      <c r="S181" t="s">
        <v>17</v>
      </c>
    </row>
    <row r="182" spans="1:19" x14ac:dyDescent="0.25">
      <c r="A182">
        <v>181</v>
      </c>
      <c r="B182" t="s">
        <v>13</v>
      </c>
      <c r="C182">
        <v>42</v>
      </c>
      <c r="D182" t="str">
        <f t="shared" si="12"/>
        <v>40's</v>
      </c>
      <c r="E182" t="s">
        <v>41</v>
      </c>
      <c r="F182">
        <v>7.8</v>
      </c>
      <c r="G182" t="str">
        <f t="shared" si="13"/>
        <v>Good</v>
      </c>
      <c r="H182">
        <v>8</v>
      </c>
      <c r="I182" t="str">
        <f t="shared" si="14"/>
        <v>Good</v>
      </c>
      <c r="J182">
        <v>90</v>
      </c>
      <c r="K182" s="1">
        <f t="shared" si="15"/>
        <v>3.75</v>
      </c>
      <c r="L182" s="1" t="str">
        <f t="shared" si="16"/>
        <v>Highly Active</v>
      </c>
      <c r="M182">
        <v>5</v>
      </c>
      <c r="N182" t="s">
        <v>19</v>
      </c>
      <c r="O182" t="s">
        <v>44</v>
      </c>
      <c r="P182">
        <v>70</v>
      </c>
      <c r="Q182">
        <v>8000</v>
      </c>
      <c r="R182" t="str">
        <f t="shared" si="17"/>
        <v>Half Achieved</v>
      </c>
      <c r="S182" t="s">
        <v>17</v>
      </c>
    </row>
    <row r="183" spans="1:19" x14ac:dyDescent="0.25">
      <c r="A183">
        <v>182</v>
      </c>
      <c r="B183" t="s">
        <v>13</v>
      </c>
      <c r="C183">
        <v>42</v>
      </c>
      <c r="D183" t="str">
        <f t="shared" si="12"/>
        <v>40's</v>
      </c>
      <c r="E183" t="s">
        <v>41</v>
      </c>
      <c r="F183">
        <v>7.8</v>
      </c>
      <c r="G183" t="str">
        <f t="shared" si="13"/>
        <v>Good</v>
      </c>
      <c r="H183">
        <v>8</v>
      </c>
      <c r="I183" t="str">
        <f t="shared" si="14"/>
        <v>Good</v>
      </c>
      <c r="J183">
        <v>90</v>
      </c>
      <c r="K183" s="1">
        <f t="shared" si="15"/>
        <v>3.75</v>
      </c>
      <c r="L183" s="1" t="str">
        <f t="shared" si="16"/>
        <v>Highly Active</v>
      </c>
      <c r="M183">
        <v>5</v>
      </c>
      <c r="N183" t="s">
        <v>19</v>
      </c>
      <c r="O183" t="s">
        <v>44</v>
      </c>
      <c r="P183">
        <v>70</v>
      </c>
      <c r="Q183">
        <v>8000</v>
      </c>
      <c r="R183" t="str">
        <f t="shared" si="17"/>
        <v>Half Achieved</v>
      </c>
      <c r="S183" t="s">
        <v>17</v>
      </c>
    </row>
    <row r="184" spans="1:19" x14ac:dyDescent="0.25">
      <c r="A184">
        <v>183</v>
      </c>
      <c r="B184" t="s">
        <v>13</v>
      </c>
      <c r="C184">
        <v>42</v>
      </c>
      <c r="D184" t="str">
        <f t="shared" si="12"/>
        <v>40's</v>
      </c>
      <c r="E184" t="s">
        <v>41</v>
      </c>
      <c r="F184">
        <v>7.8</v>
      </c>
      <c r="G184" t="str">
        <f t="shared" si="13"/>
        <v>Good</v>
      </c>
      <c r="H184">
        <v>8</v>
      </c>
      <c r="I184" t="str">
        <f t="shared" si="14"/>
        <v>Good</v>
      </c>
      <c r="J184">
        <v>90</v>
      </c>
      <c r="K184" s="1">
        <f t="shared" si="15"/>
        <v>3.75</v>
      </c>
      <c r="L184" s="1" t="str">
        <f t="shared" si="16"/>
        <v>Highly Active</v>
      </c>
      <c r="M184">
        <v>5</v>
      </c>
      <c r="N184" t="s">
        <v>19</v>
      </c>
      <c r="O184" t="s">
        <v>44</v>
      </c>
      <c r="P184">
        <v>70</v>
      </c>
      <c r="Q184">
        <v>8000</v>
      </c>
      <c r="R184" t="str">
        <f t="shared" si="17"/>
        <v>Half Achieved</v>
      </c>
      <c r="S184" t="s">
        <v>17</v>
      </c>
    </row>
    <row r="185" spans="1:19" x14ac:dyDescent="0.25">
      <c r="A185">
        <v>184</v>
      </c>
      <c r="B185" t="s">
        <v>13</v>
      </c>
      <c r="C185">
        <v>42</v>
      </c>
      <c r="D185" t="str">
        <f t="shared" si="12"/>
        <v>40's</v>
      </c>
      <c r="E185" t="s">
        <v>41</v>
      </c>
      <c r="F185">
        <v>7.8</v>
      </c>
      <c r="G185" t="str">
        <f t="shared" si="13"/>
        <v>Good</v>
      </c>
      <c r="H185">
        <v>8</v>
      </c>
      <c r="I185" t="str">
        <f t="shared" si="14"/>
        <v>Good</v>
      </c>
      <c r="J185">
        <v>90</v>
      </c>
      <c r="K185" s="1">
        <f t="shared" si="15"/>
        <v>3.75</v>
      </c>
      <c r="L185" s="1" t="str">
        <f t="shared" si="16"/>
        <v>Highly Active</v>
      </c>
      <c r="M185">
        <v>5</v>
      </c>
      <c r="N185" t="s">
        <v>19</v>
      </c>
      <c r="O185" t="s">
        <v>44</v>
      </c>
      <c r="P185">
        <v>70</v>
      </c>
      <c r="Q185">
        <v>8000</v>
      </c>
      <c r="R185" t="str">
        <f t="shared" si="17"/>
        <v>Half Achieved</v>
      </c>
      <c r="S185" t="s">
        <v>17</v>
      </c>
    </row>
    <row r="186" spans="1:19" x14ac:dyDescent="0.25">
      <c r="A186">
        <v>185</v>
      </c>
      <c r="B186" t="s">
        <v>28</v>
      </c>
      <c r="C186">
        <v>42</v>
      </c>
      <c r="D186" t="str">
        <f t="shared" si="12"/>
        <v>40's</v>
      </c>
      <c r="E186" t="s">
        <v>26</v>
      </c>
      <c r="F186">
        <v>6.8</v>
      </c>
      <c r="G186" t="str">
        <f t="shared" si="13"/>
        <v>Low</v>
      </c>
      <c r="H186">
        <v>6</v>
      </c>
      <c r="I186" t="str">
        <f t="shared" si="14"/>
        <v>Good</v>
      </c>
      <c r="J186">
        <v>45</v>
      </c>
      <c r="K186" s="1">
        <f t="shared" si="15"/>
        <v>1.875</v>
      </c>
      <c r="L186" s="1" t="str">
        <f t="shared" si="16"/>
        <v>Active</v>
      </c>
      <c r="M186">
        <v>7</v>
      </c>
      <c r="N186" t="s">
        <v>15</v>
      </c>
      <c r="O186" t="s">
        <v>44</v>
      </c>
      <c r="P186">
        <v>78</v>
      </c>
      <c r="Q186">
        <v>5000</v>
      </c>
      <c r="R186" t="str">
        <f t="shared" si="17"/>
        <v>Half Achieved</v>
      </c>
      <c r="S186" t="s">
        <v>24</v>
      </c>
    </row>
    <row r="187" spans="1:19" x14ac:dyDescent="0.25">
      <c r="A187">
        <v>186</v>
      </c>
      <c r="B187" t="s">
        <v>28</v>
      </c>
      <c r="C187">
        <v>42</v>
      </c>
      <c r="D187" t="str">
        <f t="shared" si="12"/>
        <v>40's</v>
      </c>
      <c r="E187" t="s">
        <v>26</v>
      </c>
      <c r="F187">
        <v>6.8</v>
      </c>
      <c r="G187" t="str">
        <f t="shared" si="13"/>
        <v>Low</v>
      </c>
      <c r="H187">
        <v>6</v>
      </c>
      <c r="I187" t="str">
        <f t="shared" si="14"/>
        <v>Good</v>
      </c>
      <c r="J187">
        <v>45</v>
      </c>
      <c r="K187" s="1">
        <f t="shared" si="15"/>
        <v>1.875</v>
      </c>
      <c r="L187" s="1" t="str">
        <f t="shared" si="16"/>
        <v>Active</v>
      </c>
      <c r="M187">
        <v>7</v>
      </c>
      <c r="N187" t="s">
        <v>15</v>
      </c>
      <c r="O187" t="s">
        <v>44</v>
      </c>
      <c r="P187">
        <v>78</v>
      </c>
      <c r="Q187">
        <v>5000</v>
      </c>
      <c r="R187" t="str">
        <f t="shared" si="17"/>
        <v>Half Achieved</v>
      </c>
      <c r="S187" t="s">
        <v>24</v>
      </c>
    </row>
    <row r="188" spans="1:19" x14ac:dyDescent="0.25">
      <c r="A188">
        <v>187</v>
      </c>
      <c r="B188" t="s">
        <v>28</v>
      </c>
      <c r="C188">
        <v>43</v>
      </c>
      <c r="D188" t="str">
        <f t="shared" si="12"/>
        <v>40's</v>
      </c>
      <c r="E188" t="s">
        <v>26</v>
      </c>
      <c r="F188">
        <v>6.7</v>
      </c>
      <c r="G188" t="str">
        <f t="shared" si="13"/>
        <v>Low</v>
      </c>
      <c r="H188">
        <v>7</v>
      </c>
      <c r="I188" t="str">
        <f t="shared" si="14"/>
        <v>Good</v>
      </c>
      <c r="J188">
        <v>45</v>
      </c>
      <c r="K188" s="1">
        <f t="shared" si="15"/>
        <v>1.875</v>
      </c>
      <c r="L188" s="1" t="str">
        <f t="shared" si="16"/>
        <v>Active</v>
      </c>
      <c r="M188">
        <v>4</v>
      </c>
      <c r="N188" t="s">
        <v>15</v>
      </c>
      <c r="O188" t="s">
        <v>50</v>
      </c>
      <c r="P188">
        <v>65</v>
      </c>
      <c r="Q188">
        <v>6000</v>
      </c>
      <c r="R188" t="str">
        <f t="shared" si="17"/>
        <v>Half Achieved</v>
      </c>
      <c r="S188" t="s">
        <v>25</v>
      </c>
    </row>
    <row r="189" spans="1:19" x14ac:dyDescent="0.25">
      <c r="A189">
        <v>188</v>
      </c>
      <c r="B189" t="s">
        <v>13</v>
      </c>
      <c r="C189">
        <v>43</v>
      </c>
      <c r="D189" t="str">
        <f t="shared" si="12"/>
        <v>40's</v>
      </c>
      <c r="E189" t="s">
        <v>49</v>
      </c>
      <c r="F189">
        <v>6.3</v>
      </c>
      <c r="G189" t="str">
        <f t="shared" si="13"/>
        <v>Low</v>
      </c>
      <c r="H189">
        <v>6</v>
      </c>
      <c r="I189" t="str">
        <f t="shared" si="14"/>
        <v>Good</v>
      </c>
      <c r="J189">
        <v>45</v>
      </c>
      <c r="K189" s="1">
        <f t="shared" si="15"/>
        <v>1.875</v>
      </c>
      <c r="L189" s="1" t="str">
        <f t="shared" si="16"/>
        <v>Active</v>
      </c>
      <c r="M189">
        <v>7</v>
      </c>
      <c r="N189" t="s">
        <v>15</v>
      </c>
      <c r="O189" t="s">
        <v>44</v>
      </c>
      <c r="P189">
        <v>72</v>
      </c>
      <c r="Q189">
        <v>6000</v>
      </c>
      <c r="R189" t="str">
        <f t="shared" si="17"/>
        <v>Half Achieved</v>
      </c>
      <c r="S189" t="s">
        <v>25</v>
      </c>
    </row>
    <row r="190" spans="1:19" x14ac:dyDescent="0.25">
      <c r="A190">
        <v>189</v>
      </c>
      <c r="B190" t="s">
        <v>28</v>
      </c>
      <c r="C190">
        <v>43</v>
      </c>
      <c r="D190" t="str">
        <f t="shared" si="12"/>
        <v>40's</v>
      </c>
      <c r="E190" t="s">
        <v>26</v>
      </c>
      <c r="F190">
        <v>6.7</v>
      </c>
      <c r="G190" t="str">
        <f t="shared" si="13"/>
        <v>Low</v>
      </c>
      <c r="H190">
        <v>7</v>
      </c>
      <c r="I190" t="str">
        <f t="shared" si="14"/>
        <v>Good</v>
      </c>
      <c r="J190">
        <v>45</v>
      </c>
      <c r="K190" s="1">
        <f t="shared" si="15"/>
        <v>1.875</v>
      </c>
      <c r="L190" s="1" t="str">
        <f t="shared" si="16"/>
        <v>Active</v>
      </c>
      <c r="M190">
        <v>4</v>
      </c>
      <c r="N190" t="s">
        <v>15</v>
      </c>
      <c r="O190" t="s">
        <v>50</v>
      </c>
      <c r="P190">
        <v>65</v>
      </c>
      <c r="Q190">
        <v>6000</v>
      </c>
      <c r="R190" t="str">
        <f t="shared" si="17"/>
        <v>Half Achieved</v>
      </c>
      <c r="S190" t="s">
        <v>25</v>
      </c>
    </row>
    <row r="191" spans="1:19" x14ac:dyDescent="0.25">
      <c r="A191">
        <v>190</v>
      </c>
      <c r="B191" t="s">
        <v>13</v>
      </c>
      <c r="C191">
        <v>43</v>
      </c>
      <c r="D191" t="str">
        <f t="shared" si="12"/>
        <v>40's</v>
      </c>
      <c r="E191" t="s">
        <v>49</v>
      </c>
      <c r="F191">
        <v>6.5</v>
      </c>
      <c r="G191" t="str">
        <f t="shared" si="13"/>
        <v>Low</v>
      </c>
      <c r="H191">
        <v>6</v>
      </c>
      <c r="I191" t="str">
        <f t="shared" si="14"/>
        <v>Good</v>
      </c>
      <c r="J191">
        <v>45</v>
      </c>
      <c r="K191" s="1">
        <f t="shared" si="15"/>
        <v>1.875</v>
      </c>
      <c r="L191" s="1" t="str">
        <f t="shared" si="16"/>
        <v>Active</v>
      </c>
      <c r="M191">
        <v>7</v>
      </c>
      <c r="N191" t="s">
        <v>15</v>
      </c>
      <c r="O191" t="s">
        <v>44</v>
      </c>
      <c r="P191">
        <v>72</v>
      </c>
      <c r="Q191">
        <v>6000</v>
      </c>
      <c r="R191" t="str">
        <f t="shared" si="17"/>
        <v>Half Achieved</v>
      </c>
      <c r="S191" t="s">
        <v>25</v>
      </c>
    </row>
    <row r="192" spans="1:19" x14ac:dyDescent="0.25">
      <c r="A192">
        <v>191</v>
      </c>
      <c r="B192" t="s">
        <v>28</v>
      </c>
      <c r="C192">
        <v>43</v>
      </c>
      <c r="D192" t="str">
        <f t="shared" si="12"/>
        <v>40's</v>
      </c>
      <c r="E192" t="s">
        <v>26</v>
      </c>
      <c r="F192">
        <v>6.7</v>
      </c>
      <c r="G192" t="str">
        <f t="shared" si="13"/>
        <v>Low</v>
      </c>
      <c r="H192">
        <v>7</v>
      </c>
      <c r="I192" t="str">
        <f t="shared" si="14"/>
        <v>Good</v>
      </c>
      <c r="J192">
        <v>45</v>
      </c>
      <c r="K192" s="1">
        <f t="shared" si="15"/>
        <v>1.875</v>
      </c>
      <c r="L192" s="1" t="str">
        <f t="shared" si="16"/>
        <v>Active</v>
      </c>
      <c r="M192">
        <v>4</v>
      </c>
      <c r="N192" t="s">
        <v>15</v>
      </c>
      <c r="O192" t="s">
        <v>50</v>
      </c>
      <c r="P192">
        <v>65</v>
      </c>
      <c r="Q192">
        <v>6000</v>
      </c>
      <c r="R192" t="str">
        <f t="shared" si="17"/>
        <v>Half Achieved</v>
      </c>
      <c r="S192" t="s">
        <v>25</v>
      </c>
    </row>
    <row r="193" spans="1:19" x14ac:dyDescent="0.25">
      <c r="A193">
        <v>192</v>
      </c>
      <c r="B193" t="s">
        <v>13</v>
      </c>
      <c r="C193">
        <v>43</v>
      </c>
      <c r="D193" t="str">
        <f t="shared" si="12"/>
        <v>40's</v>
      </c>
      <c r="E193" t="s">
        <v>49</v>
      </c>
      <c r="F193">
        <v>6.4</v>
      </c>
      <c r="G193" t="str">
        <f t="shared" si="13"/>
        <v>Low</v>
      </c>
      <c r="H193">
        <v>6</v>
      </c>
      <c r="I193" t="str">
        <f t="shared" si="14"/>
        <v>Good</v>
      </c>
      <c r="J193">
        <v>45</v>
      </c>
      <c r="K193" s="1">
        <f t="shared" si="15"/>
        <v>1.875</v>
      </c>
      <c r="L193" s="1" t="str">
        <f t="shared" si="16"/>
        <v>Active</v>
      </c>
      <c r="M193">
        <v>7</v>
      </c>
      <c r="N193" t="s">
        <v>15</v>
      </c>
      <c r="O193" t="s">
        <v>44</v>
      </c>
      <c r="P193">
        <v>72</v>
      </c>
      <c r="Q193">
        <v>6000</v>
      </c>
      <c r="R193" t="str">
        <f t="shared" si="17"/>
        <v>Half Achieved</v>
      </c>
      <c r="S193" t="s">
        <v>25</v>
      </c>
    </row>
    <row r="194" spans="1:19" x14ac:dyDescent="0.25">
      <c r="A194">
        <v>193</v>
      </c>
      <c r="B194" t="s">
        <v>13</v>
      </c>
      <c r="C194">
        <v>43</v>
      </c>
      <c r="D194" t="str">
        <f t="shared" si="12"/>
        <v>40's</v>
      </c>
      <c r="E194" t="s">
        <v>49</v>
      </c>
      <c r="F194">
        <v>6.5</v>
      </c>
      <c r="G194" t="str">
        <f t="shared" si="13"/>
        <v>Low</v>
      </c>
      <c r="H194">
        <v>6</v>
      </c>
      <c r="I194" t="str">
        <f t="shared" si="14"/>
        <v>Good</v>
      </c>
      <c r="J194">
        <v>45</v>
      </c>
      <c r="K194" s="1">
        <f t="shared" si="15"/>
        <v>1.875</v>
      </c>
      <c r="L194" s="1" t="str">
        <f t="shared" si="16"/>
        <v>Active</v>
      </c>
      <c r="M194">
        <v>7</v>
      </c>
      <c r="N194" t="s">
        <v>15</v>
      </c>
      <c r="O194" t="s">
        <v>44</v>
      </c>
      <c r="P194">
        <v>72</v>
      </c>
      <c r="Q194">
        <v>6000</v>
      </c>
      <c r="R194" t="str">
        <f t="shared" si="17"/>
        <v>Half Achieved</v>
      </c>
      <c r="S194" t="s">
        <v>25</v>
      </c>
    </row>
    <row r="195" spans="1:19" x14ac:dyDescent="0.25">
      <c r="A195">
        <v>194</v>
      </c>
      <c r="B195" t="s">
        <v>13</v>
      </c>
      <c r="C195">
        <v>43</v>
      </c>
      <c r="D195" t="str">
        <f t="shared" ref="D195:D258" si="18">IF(C195&lt;=29,"20's",(IF(C195&lt;=39,"30's",(IF(C195&lt;=49,"40's","50's")))))</f>
        <v>40's</v>
      </c>
      <c r="E195" t="s">
        <v>49</v>
      </c>
      <c r="F195">
        <v>6.5</v>
      </c>
      <c r="G195" t="str">
        <f t="shared" ref="G195:G258" si="19">IF(F195&lt;6,"Very low",(IF(F195&gt;=7,"Good","Low")))</f>
        <v>Low</v>
      </c>
      <c r="H195">
        <v>6</v>
      </c>
      <c r="I195" t="str">
        <f t="shared" ref="I195:I258" si="20">IF(H195&gt;=5,"Good","Poor")</f>
        <v>Good</v>
      </c>
      <c r="J195">
        <v>45</v>
      </c>
      <c r="K195" s="1">
        <f t="shared" ref="K195:K258" si="21">J195/24</f>
        <v>1.875</v>
      </c>
      <c r="L195" s="1" t="str">
        <f t="shared" ref="L195:L258" si="22">IF(K195&lt;=1.7,"Sedentary",(IF(K195&gt;=2,"Highly Active","Active")))</f>
        <v>Active</v>
      </c>
      <c r="M195">
        <v>7</v>
      </c>
      <c r="N195" t="s">
        <v>15</v>
      </c>
      <c r="O195" t="s">
        <v>44</v>
      </c>
      <c r="P195">
        <v>72</v>
      </c>
      <c r="Q195">
        <v>6000</v>
      </c>
      <c r="R195" t="str">
        <f t="shared" ref="R195:R258" si="23">IF(Q195=10000,"Steps Achieved",(IF(Q195&gt;=5000,"Half Achieved","Partially Achieved")))</f>
        <v>Half Achieved</v>
      </c>
      <c r="S195" t="s">
        <v>25</v>
      </c>
    </row>
    <row r="196" spans="1:19" x14ac:dyDescent="0.25">
      <c r="A196">
        <v>195</v>
      </c>
      <c r="B196" t="s">
        <v>13</v>
      </c>
      <c r="C196">
        <v>43</v>
      </c>
      <c r="D196" t="str">
        <f t="shared" si="18"/>
        <v>40's</v>
      </c>
      <c r="E196" t="s">
        <v>49</v>
      </c>
      <c r="F196">
        <v>6.5</v>
      </c>
      <c r="G196" t="str">
        <f t="shared" si="19"/>
        <v>Low</v>
      </c>
      <c r="H196">
        <v>6</v>
      </c>
      <c r="I196" t="str">
        <f t="shared" si="20"/>
        <v>Good</v>
      </c>
      <c r="J196">
        <v>45</v>
      </c>
      <c r="K196" s="1">
        <f t="shared" si="21"/>
        <v>1.875</v>
      </c>
      <c r="L196" s="1" t="str">
        <f t="shared" si="22"/>
        <v>Active</v>
      </c>
      <c r="M196">
        <v>7</v>
      </c>
      <c r="N196" t="s">
        <v>15</v>
      </c>
      <c r="O196" t="s">
        <v>44</v>
      </c>
      <c r="P196">
        <v>72</v>
      </c>
      <c r="Q196">
        <v>6000</v>
      </c>
      <c r="R196" t="str">
        <f t="shared" si="23"/>
        <v>Half Achieved</v>
      </c>
      <c r="S196" t="s">
        <v>25</v>
      </c>
    </row>
    <row r="197" spans="1:19" x14ac:dyDescent="0.25">
      <c r="A197">
        <v>196</v>
      </c>
      <c r="B197" t="s">
        <v>13</v>
      </c>
      <c r="C197">
        <v>43</v>
      </c>
      <c r="D197" t="str">
        <f t="shared" si="18"/>
        <v>40's</v>
      </c>
      <c r="E197" t="s">
        <v>49</v>
      </c>
      <c r="F197">
        <v>6.5</v>
      </c>
      <c r="G197" t="str">
        <f t="shared" si="19"/>
        <v>Low</v>
      </c>
      <c r="H197">
        <v>6</v>
      </c>
      <c r="I197" t="str">
        <f t="shared" si="20"/>
        <v>Good</v>
      </c>
      <c r="J197">
        <v>45</v>
      </c>
      <c r="K197" s="1">
        <f t="shared" si="21"/>
        <v>1.875</v>
      </c>
      <c r="L197" s="1" t="str">
        <f t="shared" si="22"/>
        <v>Active</v>
      </c>
      <c r="M197">
        <v>7</v>
      </c>
      <c r="N197" t="s">
        <v>15</v>
      </c>
      <c r="O197" t="s">
        <v>44</v>
      </c>
      <c r="P197">
        <v>72</v>
      </c>
      <c r="Q197">
        <v>6000</v>
      </c>
      <c r="R197" t="str">
        <f t="shared" si="23"/>
        <v>Half Achieved</v>
      </c>
      <c r="S197" t="s">
        <v>25</v>
      </c>
    </row>
    <row r="198" spans="1:19" x14ac:dyDescent="0.25">
      <c r="A198">
        <v>197</v>
      </c>
      <c r="B198" t="s">
        <v>13</v>
      </c>
      <c r="C198">
        <v>43</v>
      </c>
      <c r="D198" t="str">
        <f t="shared" si="18"/>
        <v>40's</v>
      </c>
      <c r="E198" t="s">
        <v>49</v>
      </c>
      <c r="F198">
        <v>6.5</v>
      </c>
      <c r="G198" t="str">
        <f t="shared" si="19"/>
        <v>Low</v>
      </c>
      <c r="H198">
        <v>6</v>
      </c>
      <c r="I198" t="str">
        <f t="shared" si="20"/>
        <v>Good</v>
      </c>
      <c r="J198">
        <v>45</v>
      </c>
      <c r="K198" s="1">
        <f t="shared" si="21"/>
        <v>1.875</v>
      </c>
      <c r="L198" s="1" t="str">
        <f t="shared" si="22"/>
        <v>Active</v>
      </c>
      <c r="M198">
        <v>7</v>
      </c>
      <c r="N198" t="s">
        <v>15</v>
      </c>
      <c r="O198" t="s">
        <v>44</v>
      </c>
      <c r="P198">
        <v>72</v>
      </c>
      <c r="Q198">
        <v>6000</v>
      </c>
      <c r="R198" t="str">
        <f t="shared" si="23"/>
        <v>Half Achieved</v>
      </c>
      <c r="S198" t="s">
        <v>25</v>
      </c>
    </row>
    <row r="199" spans="1:19" x14ac:dyDescent="0.25">
      <c r="A199">
        <v>198</v>
      </c>
      <c r="B199" t="s">
        <v>13</v>
      </c>
      <c r="C199">
        <v>43</v>
      </c>
      <c r="D199" t="str">
        <f t="shared" si="18"/>
        <v>40's</v>
      </c>
      <c r="E199" t="s">
        <v>49</v>
      </c>
      <c r="F199">
        <v>6.5</v>
      </c>
      <c r="G199" t="str">
        <f t="shared" si="19"/>
        <v>Low</v>
      </c>
      <c r="H199">
        <v>6</v>
      </c>
      <c r="I199" t="str">
        <f t="shared" si="20"/>
        <v>Good</v>
      </c>
      <c r="J199">
        <v>45</v>
      </c>
      <c r="K199" s="1">
        <f t="shared" si="21"/>
        <v>1.875</v>
      </c>
      <c r="L199" s="1" t="str">
        <f t="shared" si="22"/>
        <v>Active</v>
      </c>
      <c r="M199">
        <v>7</v>
      </c>
      <c r="N199" t="s">
        <v>15</v>
      </c>
      <c r="O199" t="s">
        <v>44</v>
      </c>
      <c r="P199">
        <v>72</v>
      </c>
      <c r="Q199">
        <v>6000</v>
      </c>
      <c r="R199" t="str">
        <f t="shared" si="23"/>
        <v>Half Achieved</v>
      </c>
      <c r="S199" t="s">
        <v>25</v>
      </c>
    </row>
    <row r="200" spans="1:19" x14ac:dyDescent="0.25">
      <c r="A200">
        <v>199</v>
      </c>
      <c r="B200" t="s">
        <v>13</v>
      </c>
      <c r="C200">
        <v>43</v>
      </c>
      <c r="D200" t="str">
        <f t="shared" si="18"/>
        <v>40's</v>
      </c>
      <c r="E200" t="s">
        <v>49</v>
      </c>
      <c r="F200">
        <v>6.5</v>
      </c>
      <c r="G200" t="str">
        <f t="shared" si="19"/>
        <v>Low</v>
      </c>
      <c r="H200">
        <v>6</v>
      </c>
      <c r="I200" t="str">
        <f t="shared" si="20"/>
        <v>Good</v>
      </c>
      <c r="J200">
        <v>45</v>
      </c>
      <c r="K200" s="1">
        <f t="shared" si="21"/>
        <v>1.875</v>
      </c>
      <c r="L200" s="1" t="str">
        <f t="shared" si="22"/>
        <v>Active</v>
      </c>
      <c r="M200">
        <v>7</v>
      </c>
      <c r="N200" t="s">
        <v>15</v>
      </c>
      <c r="O200" t="s">
        <v>44</v>
      </c>
      <c r="P200">
        <v>72</v>
      </c>
      <c r="Q200">
        <v>6000</v>
      </c>
      <c r="R200" t="str">
        <f t="shared" si="23"/>
        <v>Half Achieved</v>
      </c>
      <c r="S200" t="s">
        <v>25</v>
      </c>
    </row>
    <row r="201" spans="1:19" x14ac:dyDescent="0.25">
      <c r="A201">
        <v>200</v>
      </c>
      <c r="B201" t="s">
        <v>13</v>
      </c>
      <c r="C201">
        <v>43</v>
      </c>
      <c r="D201" t="str">
        <f t="shared" si="18"/>
        <v>40's</v>
      </c>
      <c r="E201" t="s">
        <v>49</v>
      </c>
      <c r="F201">
        <v>6.5</v>
      </c>
      <c r="G201" t="str">
        <f t="shared" si="19"/>
        <v>Low</v>
      </c>
      <c r="H201">
        <v>6</v>
      </c>
      <c r="I201" t="str">
        <f t="shared" si="20"/>
        <v>Good</v>
      </c>
      <c r="J201">
        <v>45</v>
      </c>
      <c r="K201" s="1">
        <f t="shared" si="21"/>
        <v>1.875</v>
      </c>
      <c r="L201" s="1" t="str">
        <f t="shared" si="22"/>
        <v>Active</v>
      </c>
      <c r="M201">
        <v>7</v>
      </c>
      <c r="N201" t="s">
        <v>15</v>
      </c>
      <c r="O201" t="s">
        <v>44</v>
      </c>
      <c r="P201">
        <v>72</v>
      </c>
      <c r="Q201">
        <v>6000</v>
      </c>
      <c r="R201" t="str">
        <f t="shared" si="23"/>
        <v>Half Achieved</v>
      </c>
      <c r="S201" t="s">
        <v>25</v>
      </c>
    </row>
    <row r="202" spans="1:19" x14ac:dyDescent="0.25">
      <c r="A202">
        <v>201</v>
      </c>
      <c r="B202" t="s">
        <v>13</v>
      </c>
      <c r="C202">
        <v>43</v>
      </c>
      <c r="D202" t="str">
        <f t="shared" si="18"/>
        <v>40's</v>
      </c>
      <c r="E202" t="s">
        <v>49</v>
      </c>
      <c r="F202">
        <v>6.5</v>
      </c>
      <c r="G202" t="str">
        <f t="shared" si="19"/>
        <v>Low</v>
      </c>
      <c r="H202">
        <v>6</v>
      </c>
      <c r="I202" t="str">
        <f t="shared" si="20"/>
        <v>Good</v>
      </c>
      <c r="J202">
        <v>45</v>
      </c>
      <c r="K202" s="1">
        <f t="shared" si="21"/>
        <v>1.875</v>
      </c>
      <c r="L202" s="1" t="str">
        <f t="shared" si="22"/>
        <v>Active</v>
      </c>
      <c r="M202">
        <v>7</v>
      </c>
      <c r="N202" t="s">
        <v>15</v>
      </c>
      <c r="O202" t="s">
        <v>44</v>
      </c>
      <c r="P202">
        <v>72</v>
      </c>
      <c r="Q202">
        <v>6000</v>
      </c>
      <c r="R202" t="str">
        <f t="shared" si="23"/>
        <v>Half Achieved</v>
      </c>
      <c r="S202" t="s">
        <v>25</v>
      </c>
    </row>
    <row r="203" spans="1:19" x14ac:dyDescent="0.25">
      <c r="A203">
        <v>202</v>
      </c>
      <c r="B203" t="s">
        <v>13</v>
      </c>
      <c r="C203">
        <v>43</v>
      </c>
      <c r="D203" t="str">
        <f t="shared" si="18"/>
        <v>40's</v>
      </c>
      <c r="E203" t="s">
        <v>33</v>
      </c>
      <c r="F203">
        <v>7.8</v>
      </c>
      <c r="G203" t="str">
        <f t="shared" si="19"/>
        <v>Good</v>
      </c>
      <c r="H203">
        <v>8</v>
      </c>
      <c r="I203" t="str">
        <f t="shared" si="20"/>
        <v>Good</v>
      </c>
      <c r="J203">
        <v>90</v>
      </c>
      <c r="K203" s="1">
        <f t="shared" si="21"/>
        <v>3.75</v>
      </c>
      <c r="L203" s="1" t="str">
        <f t="shared" si="22"/>
        <v>Highly Active</v>
      </c>
      <c r="M203">
        <v>5</v>
      </c>
      <c r="N203" t="s">
        <v>19</v>
      </c>
      <c r="O203" t="s">
        <v>44</v>
      </c>
      <c r="P203">
        <v>70</v>
      </c>
      <c r="Q203">
        <v>8000</v>
      </c>
      <c r="R203" t="str">
        <f t="shared" si="23"/>
        <v>Half Achieved</v>
      </c>
      <c r="S203" t="s">
        <v>25</v>
      </c>
    </row>
    <row r="204" spans="1:19" x14ac:dyDescent="0.25">
      <c r="A204">
        <v>203</v>
      </c>
      <c r="B204" t="s">
        <v>13</v>
      </c>
      <c r="C204">
        <v>43</v>
      </c>
      <c r="D204" t="str">
        <f t="shared" si="18"/>
        <v>40's</v>
      </c>
      <c r="E204" t="s">
        <v>33</v>
      </c>
      <c r="F204">
        <v>7.8</v>
      </c>
      <c r="G204" t="str">
        <f t="shared" si="19"/>
        <v>Good</v>
      </c>
      <c r="H204">
        <v>8</v>
      </c>
      <c r="I204" t="str">
        <f t="shared" si="20"/>
        <v>Good</v>
      </c>
      <c r="J204">
        <v>90</v>
      </c>
      <c r="K204" s="1">
        <f t="shared" si="21"/>
        <v>3.75</v>
      </c>
      <c r="L204" s="1" t="str">
        <f t="shared" si="22"/>
        <v>Highly Active</v>
      </c>
      <c r="M204">
        <v>5</v>
      </c>
      <c r="N204" t="s">
        <v>19</v>
      </c>
      <c r="O204" t="s">
        <v>44</v>
      </c>
      <c r="P204">
        <v>70</v>
      </c>
      <c r="Q204">
        <v>8000</v>
      </c>
      <c r="R204" t="str">
        <f t="shared" si="23"/>
        <v>Half Achieved</v>
      </c>
      <c r="S204" t="s">
        <v>25</v>
      </c>
    </row>
    <row r="205" spans="1:19" x14ac:dyDescent="0.25">
      <c r="A205">
        <v>204</v>
      </c>
      <c r="B205" t="s">
        <v>13</v>
      </c>
      <c r="C205">
        <v>43</v>
      </c>
      <c r="D205" t="str">
        <f t="shared" si="18"/>
        <v>40's</v>
      </c>
      <c r="E205" t="s">
        <v>33</v>
      </c>
      <c r="F205">
        <v>6.9</v>
      </c>
      <c r="G205" t="str">
        <f t="shared" si="19"/>
        <v>Low</v>
      </c>
      <c r="H205">
        <v>6</v>
      </c>
      <c r="I205" t="str">
        <f t="shared" si="20"/>
        <v>Good</v>
      </c>
      <c r="J205">
        <v>47</v>
      </c>
      <c r="K205" s="1">
        <f t="shared" si="21"/>
        <v>1.9583333333333333</v>
      </c>
      <c r="L205" s="1" t="str">
        <f t="shared" si="22"/>
        <v>Active</v>
      </c>
      <c r="M205">
        <v>7</v>
      </c>
      <c r="N205" t="s">
        <v>19</v>
      </c>
      <c r="O205" t="s">
        <v>32</v>
      </c>
      <c r="P205">
        <v>69</v>
      </c>
      <c r="Q205">
        <v>6800</v>
      </c>
      <c r="R205" t="str">
        <f t="shared" si="23"/>
        <v>Half Achieved</v>
      </c>
      <c r="S205" t="s">
        <v>17</v>
      </c>
    </row>
    <row r="206" spans="1:19" x14ac:dyDescent="0.25">
      <c r="A206">
        <v>205</v>
      </c>
      <c r="B206" t="s">
        <v>13</v>
      </c>
      <c r="C206">
        <v>43</v>
      </c>
      <c r="D206" t="str">
        <f t="shared" si="18"/>
        <v>40's</v>
      </c>
      <c r="E206" t="s">
        <v>33</v>
      </c>
      <c r="F206">
        <v>7.6</v>
      </c>
      <c r="G206" t="str">
        <f t="shared" si="19"/>
        <v>Good</v>
      </c>
      <c r="H206">
        <v>8</v>
      </c>
      <c r="I206" t="str">
        <f t="shared" si="20"/>
        <v>Good</v>
      </c>
      <c r="J206">
        <v>75</v>
      </c>
      <c r="K206" s="1">
        <f t="shared" si="21"/>
        <v>3.125</v>
      </c>
      <c r="L206" s="1" t="str">
        <f t="shared" si="22"/>
        <v>Highly Active</v>
      </c>
      <c r="M206">
        <v>4</v>
      </c>
      <c r="N206" t="s">
        <v>15</v>
      </c>
      <c r="O206" t="s">
        <v>51</v>
      </c>
      <c r="P206">
        <v>68</v>
      </c>
      <c r="Q206">
        <v>6800</v>
      </c>
      <c r="R206" t="str">
        <f t="shared" si="23"/>
        <v>Half Achieved</v>
      </c>
      <c r="S206" t="s">
        <v>17</v>
      </c>
    </row>
    <row r="207" spans="1:19" x14ac:dyDescent="0.25">
      <c r="A207">
        <v>206</v>
      </c>
      <c r="B207" t="s">
        <v>13</v>
      </c>
      <c r="C207">
        <v>43</v>
      </c>
      <c r="D207" t="str">
        <f t="shared" si="18"/>
        <v>40's</v>
      </c>
      <c r="E207" t="s">
        <v>33</v>
      </c>
      <c r="F207">
        <v>7.7</v>
      </c>
      <c r="G207" t="str">
        <f t="shared" si="19"/>
        <v>Good</v>
      </c>
      <c r="H207">
        <v>8</v>
      </c>
      <c r="I207" t="str">
        <f t="shared" si="20"/>
        <v>Good</v>
      </c>
      <c r="J207">
        <v>90</v>
      </c>
      <c r="K207" s="1">
        <f t="shared" si="21"/>
        <v>3.75</v>
      </c>
      <c r="L207" s="1" t="str">
        <f t="shared" si="22"/>
        <v>Highly Active</v>
      </c>
      <c r="M207">
        <v>5</v>
      </c>
      <c r="N207" t="s">
        <v>19</v>
      </c>
      <c r="O207" t="s">
        <v>44</v>
      </c>
      <c r="P207">
        <v>70</v>
      </c>
      <c r="Q207">
        <v>8000</v>
      </c>
      <c r="R207" t="str">
        <f t="shared" si="23"/>
        <v>Half Achieved</v>
      </c>
      <c r="S207" t="s">
        <v>17</v>
      </c>
    </row>
    <row r="208" spans="1:19" x14ac:dyDescent="0.25">
      <c r="A208">
        <v>207</v>
      </c>
      <c r="B208" t="s">
        <v>13</v>
      </c>
      <c r="C208">
        <v>43</v>
      </c>
      <c r="D208" t="str">
        <f t="shared" si="18"/>
        <v>40's</v>
      </c>
      <c r="E208" t="s">
        <v>33</v>
      </c>
      <c r="F208">
        <v>7.7</v>
      </c>
      <c r="G208" t="str">
        <f t="shared" si="19"/>
        <v>Good</v>
      </c>
      <c r="H208">
        <v>8</v>
      </c>
      <c r="I208" t="str">
        <f t="shared" si="20"/>
        <v>Good</v>
      </c>
      <c r="J208">
        <v>90</v>
      </c>
      <c r="K208" s="1">
        <f t="shared" si="21"/>
        <v>3.75</v>
      </c>
      <c r="L208" s="1" t="str">
        <f t="shared" si="22"/>
        <v>Highly Active</v>
      </c>
      <c r="M208">
        <v>5</v>
      </c>
      <c r="N208" t="s">
        <v>19</v>
      </c>
      <c r="O208" t="s">
        <v>44</v>
      </c>
      <c r="P208">
        <v>70</v>
      </c>
      <c r="Q208">
        <v>8000</v>
      </c>
      <c r="R208" t="str">
        <f t="shared" si="23"/>
        <v>Half Achieved</v>
      </c>
      <c r="S208" t="s">
        <v>17</v>
      </c>
    </row>
    <row r="209" spans="1:19" x14ac:dyDescent="0.25">
      <c r="A209">
        <v>208</v>
      </c>
      <c r="B209" t="s">
        <v>13</v>
      </c>
      <c r="C209">
        <v>43</v>
      </c>
      <c r="D209" t="str">
        <f t="shared" si="18"/>
        <v>40's</v>
      </c>
      <c r="E209" t="s">
        <v>33</v>
      </c>
      <c r="F209">
        <v>7.7</v>
      </c>
      <c r="G209" t="str">
        <f t="shared" si="19"/>
        <v>Good</v>
      </c>
      <c r="H209">
        <v>8</v>
      </c>
      <c r="I209" t="str">
        <f t="shared" si="20"/>
        <v>Good</v>
      </c>
      <c r="J209">
        <v>90</v>
      </c>
      <c r="K209" s="1">
        <f t="shared" si="21"/>
        <v>3.75</v>
      </c>
      <c r="L209" s="1" t="str">
        <f t="shared" si="22"/>
        <v>Highly Active</v>
      </c>
      <c r="M209">
        <v>5</v>
      </c>
      <c r="N209" t="s">
        <v>19</v>
      </c>
      <c r="O209" t="s">
        <v>44</v>
      </c>
      <c r="P209">
        <v>70</v>
      </c>
      <c r="Q209">
        <v>8000</v>
      </c>
      <c r="R209" t="str">
        <f t="shared" si="23"/>
        <v>Half Achieved</v>
      </c>
      <c r="S209" t="s">
        <v>17</v>
      </c>
    </row>
    <row r="210" spans="1:19" x14ac:dyDescent="0.25">
      <c r="A210">
        <v>209</v>
      </c>
      <c r="B210" t="s">
        <v>13</v>
      </c>
      <c r="C210">
        <v>43</v>
      </c>
      <c r="D210" t="str">
        <f t="shared" si="18"/>
        <v>40's</v>
      </c>
      <c r="E210" t="s">
        <v>33</v>
      </c>
      <c r="F210">
        <v>7.7</v>
      </c>
      <c r="G210" t="str">
        <f t="shared" si="19"/>
        <v>Good</v>
      </c>
      <c r="H210">
        <v>8</v>
      </c>
      <c r="I210" t="str">
        <f t="shared" si="20"/>
        <v>Good</v>
      </c>
      <c r="J210">
        <v>90</v>
      </c>
      <c r="K210" s="1">
        <f t="shared" si="21"/>
        <v>3.75</v>
      </c>
      <c r="L210" s="1" t="str">
        <f t="shared" si="22"/>
        <v>Highly Active</v>
      </c>
      <c r="M210">
        <v>5</v>
      </c>
      <c r="N210" t="s">
        <v>19</v>
      </c>
      <c r="O210" t="s">
        <v>44</v>
      </c>
      <c r="P210">
        <v>70</v>
      </c>
      <c r="Q210">
        <v>8000</v>
      </c>
      <c r="R210" t="str">
        <f t="shared" si="23"/>
        <v>Half Achieved</v>
      </c>
      <c r="S210" t="s">
        <v>17</v>
      </c>
    </row>
    <row r="211" spans="1:19" x14ac:dyDescent="0.25">
      <c r="A211">
        <v>210</v>
      </c>
      <c r="B211" t="s">
        <v>13</v>
      </c>
      <c r="C211">
        <v>43</v>
      </c>
      <c r="D211" t="str">
        <f t="shared" si="18"/>
        <v>40's</v>
      </c>
      <c r="E211" t="s">
        <v>33</v>
      </c>
      <c r="F211">
        <v>7.8</v>
      </c>
      <c r="G211" t="str">
        <f t="shared" si="19"/>
        <v>Good</v>
      </c>
      <c r="H211">
        <v>8</v>
      </c>
      <c r="I211" t="str">
        <f t="shared" si="20"/>
        <v>Good</v>
      </c>
      <c r="J211">
        <v>90</v>
      </c>
      <c r="K211" s="1">
        <f t="shared" si="21"/>
        <v>3.75</v>
      </c>
      <c r="L211" s="1" t="str">
        <f t="shared" si="22"/>
        <v>Highly Active</v>
      </c>
      <c r="M211">
        <v>5</v>
      </c>
      <c r="N211" t="s">
        <v>19</v>
      </c>
      <c r="O211" t="s">
        <v>44</v>
      </c>
      <c r="P211">
        <v>70</v>
      </c>
      <c r="Q211">
        <v>8000</v>
      </c>
      <c r="R211" t="str">
        <f t="shared" si="23"/>
        <v>Half Achieved</v>
      </c>
      <c r="S211" t="s">
        <v>17</v>
      </c>
    </row>
    <row r="212" spans="1:19" x14ac:dyDescent="0.25">
      <c r="A212">
        <v>211</v>
      </c>
      <c r="B212" t="s">
        <v>13</v>
      </c>
      <c r="C212">
        <v>43</v>
      </c>
      <c r="D212" t="str">
        <f t="shared" si="18"/>
        <v>40's</v>
      </c>
      <c r="E212" t="s">
        <v>33</v>
      </c>
      <c r="F212">
        <v>7.7</v>
      </c>
      <c r="G212" t="str">
        <f t="shared" si="19"/>
        <v>Good</v>
      </c>
      <c r="H212">
        <v>8</v>
      </c>
      <c r="I212" t="str">
        <f t="shared" si="20"/>
        <v>Good</v>
      </c>
      <c r="J212">
        <v>90</v>
      </c>
      <c r="K212" s="1">
        <f t="shared" si="21"/>
        <v>3.75</v>
      </c>
      <c r="L212" s="1" t="str">
        <f t="shared" si="22"/>
        <v>Highly Active</v>
      </c>
      <c r="M212">
        <v>5</v>
      </c>
      <c r="N212" t="s">
        <v>19</v>
      </c>
      <c r="O212" t="s">
        <v>44</v>
      </c>
      <c r="P212">
        <v>70</v>
      </c>
      <c r="Q212">
        <v>8000</v>
      </c>
      <c r="R212" t="str">
        <f t="shared" si="23"/>
        <v>Half Achieved</v>
      </c>
      <c r="S212" t="s">
        <v>17</v>
      </c>
    </row>
    <row r="213" spans="1:19" x14ac:dyDescent="0.25">
      <c r="A213">
        <v>212</v>
      </c>
      <c r="B213" t="s">
        <v>13</v>
      </c>
      <c r="C213">
        <v>43</v>
      </c>
      <c r="D213" t="str">
        <f t="shared" si="18"/>
        <v>40's</v>
      </c>
      <c r="E213" t="s">
        <v>33</v>
      </c>
      <c r="F213">
        <v>7.8</v>
      </c>
      <c r="G213" t="str">
        <f t="shared" si="19"/>
        <v>Good</v>
      </c>
      <c r="H213">
        <v>8</v>
      </c>
      <c r="I213" t="str">
        <f t="shared" si="20"/>
        <v>Good</v>
      </c>
      <c r="J213">
        <v>90</v>
      </c>
      <c r="K213" s="1">
        <f t="shared" si="21"/>
        <v>3.75</v>
      </c>
      <c r="L213" s="1" t="str">
        <f t="shared" si="22"/>
        <v>Highly Active</v>
      </c>
      <c r="M213">
        <v>5</v>
      </c>
      <c r="N213" t="s">
        <v>19</v>
      </c>
      <c r="O213" t="s">
        <v>44</v>
      </c>
      <c r="P213">
        <v>70</v>
      </c>
      <c r="Q213">
        <v>8000</v>
      </c>
      <c r="R213" t="str">
        <f t="shared" si="23"/>
        <v>Half Achieved</v>
      </c>
      <c r="S213" t="s">
        <v>17</v>
      </c>
    </row>
    <row r="214" spans="1:19" x14ac:dyDescent="0.25">
      <c r="A214">
        <v>213</v>
      </c>
      <c r="B214" t="s">
        <v>13</v>
      </c>
      <c r="C214">
        <v>43</v>
      </c>
      <c r="D214" t="str">
        <f t="shared" si="18"/>
        <v>40's</v>
      </c>
      <c r="E214" t="s">
        <v>33</v>
      </c>
      <c r="F214">
        <v>7.8</v>
      </c>
      <c r="G214" t="str">
        <f t="shared" si="19"/>
        <v>Good</v>
      </c>
      <c r="H214">
        <v>8</v>
      </c>
      <c r="I214" t="str">
        <f t="shared" si="20"/>
        <v>Good</v>
      </c>
      <c r="J214">
        <v>90</v>
      </c>
      <c r="K214" s="1">
        <f t="shared" si="21"/>
        <v>3.75</v>
      </c>
      <c r="L214" s="1" t="str">
        <f t="shared" si="22"/>
        <v>Highly Active</v>
      </c>
      <c r="M214">
        <v>5</v>
      </c>
      <c r="N214" t="s">
        <v>19</v>
      </c>
      <c r="O214" t="s">
        <v>44</v>
      </c>
      <c r="P214">
        <v>70</v>
      </c>
      <c r="Q214">
        <v>8000</v>
      </c>
      <c r="R214" t="str">
        <f t="shared" si="23"/>
        <v>Half Achieved</v>
      </c>
      <c r="S214" t="s">
        <v>17</v>
      </c>
    </row>
    <row r="215" spans="1:19" x14ac:dyDescent="0.25">
      <c r="A215">
        <v>214</v>
      </c>
      <c r="B215" t="s">
        <v>13</v>
      </c>
      <c r="C215">
        <v>43</v>
      </c>
      <c r="D215" t="str">
        <f t="shared" si="18"/>
        <v>40's</v>
      </c>
      <c r="E215" t="s">
        <v>33</v>
      </c>
      <c r="F215">
        <v>7.8</v>
      </c>
      <c r="G215" t="str">
        <f t="shared" si="19"/>
        <v>Good</v>
      </c>
      <c r="H215">
        <v>8</v>
      </c>
      <c r="I215" t="str">
        <f t="shared" si="20"/>
        <v>Good</v>
      </c>
      <c r="J215">
        <v>90</v>
      </c>
      <c r="K215" s="1">
        <f t="shared" si="21"/>
        <v>3.75</v>
      </c>
      <c r="L215" s="1" t="str">
        <f t="shared" si="22"/>
        <v>Highly Active</v>
      </c>
      <c r="M215">
        <v>5</v>
      </c>
      <c r="N215" t="s">
        <v>19</v>
      </c>
      <c r="O215" t="s">
        <v>44</v>
      </c>
      <c r="P215">
        <v>70</v>
      </c>
      <c r="Q215">
        <v>8000</v>
      </c>
      <c r="R215" t="str">
        <f t="shared" si="23"/>
        <v>Half Achieved</v>
      </c>
      <c r="S215" t="s">
        <v>17</v>
      </c>
    </row>
    <row r="216" spans="1:19" x14ac:dyDescent="0.25">
      <c r="A216">
        <v>215</v>
      </c>
      <c r="B216" t="s">
        <v>13</v>
      </c>
      <c r="C216">
        <v>43</v>
      </c>
      <c r="D216" t="str">
        <f t="shared" si="18"/>
        <v>40's</v>
      </c>
      <c r="E216" t="s">
        <v>33</v>
      </c>
      <c r="F216">
        <v>7.8</v>
      </c>
      <c r="G216" t="str">
        <f t="shared" si="19"/>
        <v>Good</v>
      </c>
      <c r="H216">
        <v>8</v>
      </c>
      <c r="I216" t="str">
        <f t="shared" si="20"/>
        <v>Good</v>
      </c>
      <c r="J216">
        <v>90</v>
      </c>
      <c r="K216" s="1">
        <f t="shared" si="21"/>
        <v>3.75</v>
      </c>
      <c r="L216" s="1" t="str">
        <f t="shared" si="22"/>
        <v>Highly Active</v>
      </c>
      <c r="M216">
        <v>5</v>
      </c>
      <c r="N216" t="s">
        <v>19</v>
      </c>
      <c r="O216" t="s">
        <v>44</v>
      </c>
      <c r="P216">
        <v>70</v>
      </c>
      <c r="Q216">
        <v>8000</v>
      </c>
      <c r="R216" t="str">
        <f t="shared" si="23"/>
        <v>Half Achieved</v>
      </c>
      <c r="S216" t="s">
        <v>17</v>
      </c>
    </row>
    <row r="217" spans="1:19" x14ac:dyDescent="0.25">
      <c r="A217">
        <v>216</v>
      </c>
      <c r="B217" t="s">
        <v>13</v>
      </c>
      <c r="C217">
        <v>43</v>
      </c>
      <c r="D217" t="str">
        <f t="shared" si="18"/>
        <v>40's</v>
      </c>
      <c r="E217" t="s">
        <v>33</v>
      </c>
      <c r="F217">
        <v>7.8</v>
      </c>
      <c r="G217" t="str">
        <f t="shared" si="19"/>
        <v>Good</v>
      </c>
      <c r="H217">
        <v>8</v>
      </c>
      <c r="I217" t="str">
        <f t="shared" si="20"/>
        <v>Good</v>
      </c>
      <c r="J217">
        <v>90</v>
      </c>
      <c r="K217" s="1">
        <f t="shared" si="21"/>
        <v>3.75</v>
      </c>
      <c r="L217" s="1" t="str">
        <f t="shared" si="22"/>
        <v>Highly Active</v>
      </c>
      <c r="M217">
        <v>5</v>
      </c>
      <c r="N217" t="s">
        <v>19</v>
      </c>
      <c r="O217" t="s">
        <v>44</v>
      </c>
      <c r="P217">
        <v>70</v>
      </c>
      <c r="Q217">
        <v>8000</v>
      </c>
      <c r="R217" t="str">
        <f t="shared" si="23"/>
        <v>Half Achieved</v>
      </c>
      <c r="S217" t="s">
        <v>17</v>
      </c>
    </row>
    <row r="218" spans="1:19" x14ac:dyDescent="0.25">
      <c r="A218">
        <v>217</v>
      </c>
      <c r="B218" t="s">
        <v>13</v>
      </c>
      <c r="C218">
        <v>43</v>
      </c>
      <c r="D218" t="str">
        <f t="shared" si="18"/>
        <v>40's</v>
      </c>
      <c r="E218" t="s">
        <v>33</v>
      </c>
      <c r="F218">
        <v>7.8</v>
      </c>
      <c r="G218" t="str">
        <f t="shared" si="19"/>
        <v>Good</v>
      </c>
      <c r="H218">
        <v>8</v>
      </c>
      <c r="I218" t="str">
        <f t="shared" si="20"/>
        <v>Good</v>
      </c>
      <c r="J218">
        <v>90</v>
      </c>
      <c r="K218" s="1">
        <f t="shared" si="21"/>
        <v>3.75</v>
      </c>
      <c r="L218" s="1" t="str">
        <f t="shared" si="22"/>
        <v>Highly Active</v>
      </c>
      <c r="M218">
        <v>5</v>
      </c>
      <c r="N218" t="s">
        <v>19</v>
      </c>
      <c r="O218" t="s">
        <v>44</v>
      </c>
      <c r="P218">
        <v>70</v>
      </c>
      <c r="Q218">
        <v>8000</v>
      </c>
      <c r="R218" t="str">
        <f t="shared" si="23"/>
        <v>Half Achieved</v>
      </c>
      <c r="S218" t="s">
        <v>17</v>
      </c>
    </row>
    <row r="219" spans="1:19" x14ac:dyDescent="0.25">
      <c r="A219">
        <v>218</v>
      </c>
      <c r="B219" t="s">
        <v>13</v>
      </c>
      <c r="C219">
        <v>43</v>
      </c>
      <c r="D219" t="str">
        <f t="shared" si="18"/>
        <v>40's</v>
      </c>
      <c r="E219" t="s">
        <v>33</v>
      </c>
      <c r="F219">
        <v>7.8</v>
      </c>
      <c r="G219" t="str">
        <f t="shared" si="19"/>
        <v>Good</v>
      </c>
      <c r="H219">
        <v>8</v>
      </c>
      <c r="I219" t="str">
        <f t="shared" si="20"/>
        <v>Good</v>
      </c>
      <c r="J219">
        <v>90</v>
      </c>
      <c r="K219" s="1">
        <f t="shared" si="21"/>
        <v>3.75</v>
      </c>
      <c r="L219" s="1" t="str">
        <f t="shared" si="22"/>
        <v>Highly Active</v>
      </c>
      <c r="M219">
        <v>5</v>
      </c>
      <c r="N219" t="s">
        <v>19</v>
      </c>
      <c r="O219" t="s">
        <v>44</v>
      </c>
      <c r="P219">
        <v>70</v>
      </c>
      <c r="Q219">
        <v>8000</v>
      </c>
      <c r="R219" t="str">
        <f t="shared" si="23"/>
        <v>Half Achieved</v>
      </c>
      <c r="S219" t="s">
        <v>17</v>
      </c>
    </row>
    <row r="220" spans="1:19" x14ac:dyDescent="0.25">
      <c r="A220">
        <v>219</v>
      </c>
      <c r="B220" t="s">
        <v>13</v>
      </c>
      <c r="C220">
        <v>43</v>
      </c>
      <c r="D220" t="str">
        <f t="shared" si="18"/>
        <v>40's</v>
      </c>
      <c r="E220" t="s">
        <v>33</v>
      </c>
      <c r="F220">
        <v>7.8</v>
      </c>
      <c r="G220" t="str">
        <f t="shared" si="19"/>
        <v>Good</v>
      </c>
      <c r="H220">
        <v>8</v>
      </c>
      <c r="I220" t="str">
        <f t="shared" si="20"/>
        <v>Good</v>
      </c>
      <c r="J220">
        <v>90</v>
      </c>
      <c r="K220" s="1">
        <f t="shared" si="21"/>
        <v>3.75</v>
      </c>
      <c r="L220" s="1" t="str">
        <f t="shared" si="22"/>
        <v>Highly Active</v>
      </c>
      <c r="M220">
        <v>5</v>
      </c>
      <c r="N220" t="s">
        <v>19</v>
      </c>
      <c r="O220" t="s">
        <v>44</v>
      </c>
      <c r="P220">
        <v>70</v>
      </c>
      <c r="Q220">
        <v>8000</v>
      </c>
      <c r="R220" t="str">
        <f t="shared" si="23"/>
        <v>Half Achieved</v>
      </c>
      <c r="S220" t="s">
        <v>24</v>
      </c>
    </row>
    <row r="221" spans="1:19" x14ac:dyDescent="0.25">
      <c r="A221">
        <v>220</v>
      </c>
      <c r="B221" t="s">
        <v>13</v>
      </c>
      <c r="C221">
        <v>43</v>
      </c>
      <c r="D221" t="str">
        <f t="shared" si="18"/>
        <v>40's</v>
      </c>
      <c r="E221" t="s">
        <v>49</v>
      </c>
      <c r="F221">
        <v>6.5</v>
      </c>
      <c r="G221" t="str">
        <f t="shared" si="19"/>
        <v>Low</v>
      </c>
      <c r="H221">
        <v>6</v>
      </c>
      <c r="I221" t="str">
        <f t="shared" si="20"/>
        <v>Good</v>
      </c>
      <c r="J221">
        <v>45</v>
      </c>
      <c r="K221" s="1">
        <f t="shared" si="21"/>
        <v>1.875</v>
      </c>
      <c r="L221" s="1" t="str">
        <f t="shared" si="22"/>
        <v>Active</v>
      </c>
      <c r="M221">
        <v>7</v>
      </c>
      <c r="N221" t="s">
        <v>15</v>
      </c>
      <c r="O221" t="s">
        <v>44</v>
      </c>
      <c r="P221">
        <v>72</v>
      </c>
      <c r="Q221">
        <v>6000</v>
      </c>
      <c r="R221" t="str">
        <f t="shared" si="23"/>
        <v>Half Achieved</v>
      </c>
      <c r="S221" t="s">
        <v>24</v>
      </c>
    </row>
    <row r="222" spans="1:19" x14ac:dyDescent="0.25">
      <c r="A222">
        <v>221</v>
      </c>
      <c r="B222" t="s">
        <v>28</v>
      </c>
      <c r="C222">
        <v>44</v>
      </c>
      <c r="D222" t="str">
        <f t="shared" si="18"/>
        <v>40's</v>
      </c>
      <c r="E222" t="s">
        <v>26</v>
      </c>
      <c r="F222">
        <v>6.6</v>
      </c>
      <c r="G222" t="str">
        <f t="shared" si="19"/>
        <v>Low</v>
      </c>
      <c r="H222">
        <v>7</v>
      </c>
      <c r="I222" t="str">
        <f t="shared" si="20"/>
        <v>Good</v>
      </c>
      <c r="J222">
        <v>45</v>
      </c>
      <c r="K222" s="1">
        <f t="shared" si="21"/>
        <v>1.875</v>
      </c>
      <c r="L222" s="1" t="str">
        <f t="shared" si="22"/>
        <v>Active</v>
      </c>
      <c r="M222">
        <v>4</v>
      </c>
      <c r="N222" t="s">
        <v>15</v>
      </c>
      <c r="O222" t="s">
        <v>50</v>
      </c>
      <c r="P222">
        <v>65</v>
      </c>
      <c r="Q222">
        <v>6000</v>
      </c>
      <c r="R222" t="str">
        <f t="shared" si="23"/>
        <v>Half Achieved</v>
      </c>
      <c r="S222" t="s">
        <v>25</v>
      </c>
    </row>
    <row r="223" spans="1:19" x14ac:dyDescent="0.25">
      <c r="A223">
        <v>222</v>
      </c>
      <c r="B223" t="s">
        <v>13</v>
      </c>
      <c r="C223">
        <v>44</v>
      </c>
      <c r="D223" t="str">
        <f t="shared" si="18"/>
        <v>40's</v>
      </c>
      <c r="E223" t="s">
        <v>49</v>
      </c>
      <c r="F223">
        <v>6.4</v>
      </c>
      <c r="G223" t="str">
        <f t="shared" si="19"/>
        <v>Low</v>
      </c>
      <c r="H223">
        <v>6</v>
      </c>
      <c r="I223" t="str">
        <f t="shared" si="20"/>
        <v>Good</v>
      </c>
      <c r="J223">
        <v>45</v>
      </c>
      <c r="K223" s="1">
        <f t="shared" si="21"/>
        <v>1.875</v>
      </c>
      <c r="L223" s="1" t="str">
        <f t="shared" si="22"/>
        <v>Active</v>
      </c>
      <c r="M223">
        <v>7</v>
      </c>
      <c r="N223" t="s">
        <v>15</v>
      </c>
      <c r="O223" t="s">
        <v>44</v>
      </c>
      <c r="P223">
        <v>72</v>
      </c>
      <c r="Q223">
        <v>6000</v>
      </c>
      <c r="R223" t="str">
        <f t="shared" si="23"/>
        <v>Half Achieved</v>
      </c>
      <c r="S223" t="s">
        <v>25</v>
      </c>
    </row>
    <row r="224" spans="1:19" x14ac:dyDescent="0.25">
      <c r="A224">
        <v>223</v>
      </c>
      <c r="B224" t="s">
        <v>13</v>
      </c>
      <c r="C224">
        <v>44</v>
      </c>
      <c r="D224" t="str">
        <f t="shared" si="18"/>
        <v>40's</v>
      </c>
      <c r="E224" t="s">
        <v>49</v>
      </c>
      <c r="F224">
        <v>6.3</v>
      </c>
      <c r="G224" t="str">
        <f t="shared" si="19"/>
        <v>Low</v>
      </c>
      <c r="H224">
        <v>6</v>
      </c>
      <c r="I224" t="str">
        <f t="shared" si="20"/>
        <v>Good</v>
      </c>
      <c r="J224">
        <v>45</v>
      </c>
      <c r="K224" s="1">
        <f t="shared" si="21"/>
        <v>1.875</v>
      </c>
      <c r="L224" s="1" t="str">
        <f t="shared" si="22"/>
        <v>Active</v>
      </c>
      <c r="M224">
        <v>7</v>
      </c>
      <c r="N224" t="s">
        <v>15</v>
      </c>
      <c r="O224" t="s">
        <v>44</v>
      </c>
      <c r="P224">
        <v>72</v>
      </c>
      <c r="Q224">
        <v>6000</v>
      </c>
      <c r="R224" t="str">
        <f t="shared" si="23"/>
        <v>Half Achieved</v>
      </c>
      <c r="S224" t="s">
        <v>25</v>
      </c>
    </row>
    <row r="225" spans="1:19" x14ac:dyDescent="0.25">
      <c r="A225">
        <v>224</v>
      </c>
      <c r="B225" t="s">
        <v>13</v>
      </c>
      <c r="C225">
        <v>44</v>
      </c>
      <c r="D225" t="str">
        <f t="shared" si="18"/>
        <v>40's</v>
      </c>
      <c r="E225" t="s">
        <v>49</v>
      </c>
      <c r="F225">
        <v>6.4</v>
      </c>
      <c r="G225" t="str">
        <f t="shared" si="19"/>
        <v>Low</v>
      </c>
      <c r="H225">
        <v>6</v>
      </c>
      <c r="I225" t="str">
        <f t="shared" si="20"/>
        <v>Good</v>
      </c>
      <c r="J225">
        <v>45</v>
      </c>
      <c r="K225" s="1">
        <f t="shared" si="21"/>
        <v>1.875</v>
      </c>
      <c r="L225" s="1" t="str">
        <f t="shared" si="22"/>
        <v>Active</v>
      </c>
      <c r="M225">
        <v>7</v>
      </c>
      <c r="N225" t="s">
        <v>15</v>
      </c>
      <c r="O225" t="s">
        <v>44</v>
      </c>
      <c r="P225">
        <v>72</v>
      </c>
      <c r="Q225">
        <v>6000</v>
      </c>
      <c r="R225" t="str">
        <f t="shared" si="23"/>
        <v>Half Achieved</v>
      </c>
      <c r="S225" t="s">
        <v>25</v>
      </c>
    </row>
    <row r="226" spans="1:19" x14ac:dyDescent="0.25">
      <c r="A226">
        <v>225</v>
      </c>
      <c r="B226" t="s">
        <v>28</v>
      </c>
      <c r="C226">
        <v>44</v>
      </c>
      <c r="D226" t="str">
        <f t="shared" si="18"/>
        <v>40's</v>
      </c>
      <c r="E226" t="s">
        <v>26</v>
      </c>
      <c r="F226">
        <v>6.6</v>
      </c>
      <c r="G226" t="str">
        <f t="shared" si="19"/>
        <v>Low</v>
      </c>
      <c r="H226">
        <v>7</v>
      </c>
      <c r="I226" t="str">
        <f t="shared" si="20"/>
        <v>Good</v>
      </c>
      <c r="J226">
        <v>45</v>
      </c>
      <c r="K226" s="1">
        <f t="shared" si="21"/>
        <v>1.875</v>
      </c>
      <c r="L226" s="1" t="str">
        <f t="shared" si="22"/>
        <v>Active</v>
      </c>
      <c r="M226">
        <v>4</v>
      </c>
      <c r="N226" t="s">
        <v>15</v>
      </c>
      <c r="O226" t="s">
        <v>50</v>
      </c>
      <c r="P226">
        <v>65</v>
      </c>
      <c r="Q226">
        <v>6000</v>
      </c>
      <c r="R226" t="str">
        <f t="shared" si="23"/>
        <v>Half Achieved</v>
      </c>
      <c r="S226" t="s">
        <v>25</v>
      </c>
    </row>
    <row r="227" spans="1:19" x14ac:dyDescent="0.25">
      <c r="A227">
        <v>226</v>
      </c>
      <c r="B227" t="s">
        <v>13</v>
      </c>
      <c r="C227">
        <v>44</v>
      </c>
      <c r="D227" t="str">
        <f t="shared" si="18"/>
        <v>40's</v>
      </c>
      <c r="E227" t="s">
        <v>49</v>
      </c>
      <c r="F227">
        <v>6.3</v>
      </c>
      <c r="G227" t="str">
        <f t="shared" si="19"/>
        <v>Low</v>
      </c>
      <c r="H227">
        <v>6</v>
      </c>
      <c r="I227" t="str">
        <f t="shared" si="20"/>
        <v>Good</v>
      </c>
      <c r="J227">
        <v>45</v>
      </c>
      <c r="K227" s="1">
        <f t="shared" si="21"/>
        <v>1.875</v>
      </c>
      <c r="L227" s="1" t="str">
        <f t="shared" si="22"/>
        <v>Active</v>
      </c>
      <c r="M227">
        <v>7</v>
      </c>
      <c r="N227" t="s">
        <v>15</v>
      </c>
      <c r="O227" t="s">
        <v>44</v>
      </c>
      <c r="P227">
        <v>72</v>
      </c>
      <c r="Q227">
        <v>6000</v>
      </c>
      <c r="R227" t="str">
        <f t="shared" si="23"/>
        <v>Half Achieved</v>
      </c>
      <c r="S227" t="s">
        <v>25</v>
      </c>
    </row>
    <row r="228" spans="1:19" x14ac:dyDescent="0.25">
      <c r="A228">
        <v>227</v>
      </c>
      <c r="B228" t="s">
        <v>28</v>
      </c>
      <c r="C228">
        <v>44</v>
      </c>
      <c r="D228" t="str">
        <f t="shared" si="18"/>
        <v>40's</v>
      </c>
      <c r="E228" t="s">
        <v>26</v>
      </c>
      <c r="F228">
        <v>6.6</v>
      </c>
      <c r="G228" t="str">
        <f t="shared" si="19"/>
        <v>Low</v>
      </c>
      <c r="H228">
        <v>7</v>
      </c>
      <c r="I228" t="str">
        <f t="shared" si="20"/>
        <v>Good</v>
      </c>
      <c r="J228">
        <v>45</v>
      </c>
      <c r="K228" s="1">
        <f t="shared" si="21"/>
        <v>1.875</v>
      </c>
      <c r="L228" s="1" t="str">
        <f t="shared" si="22"/>
        <v>Active</v>
      </c>
      <c r="M228">
        <v>4</v>
      </c>
      <c r="N228" t="s">
        <v>15</v>
      </c>
      <c r="O228" t="s">
        <v>50</v>
      </c>
      <c r="P228">
        <v>65</v>
      </c>
      <c r="Q228">
        <v>6000</v>
      </c>
      <c r="R228" t="str">
        <f t="shared" si="23"/>
        <v>Half Achieved</v>
      </c>
      <c r="S228" t="s">
        <v>25</v>
      </c>
    </row>
    <row r="229" spans="1:19" x14ac:dyDescent="0.25">
      <c r="A229">
        <v>228</v>
      </c>
      <c r="B229" t="s">
        <v>13</v>
      </c>
      <c r="C229">
        <v>44</v>
      </c>
      <c r="D229" t="str">
        <f t="shared" si="18"/>
        <v>40's</v>
      </c>
      <c r="E229" t="s">
        <v>49</v>
      </c>
      <c r="F229">
        <v>6.3</v>
      </c>
      <c r="G229" t="str">
        <f t="shared" si="19"/>
        <v>Low</v>
      </c>
      <c r="H229">
        <v>6</v>
      </c>
      <c r="I229" t="str">
        <f t="shared" si="20"/>
        <v>Good</v>
      </c>
      <c r="J229">
        <v>45</v>
      </c>
      <c r="K229" s="1">
        <f t="shared" si="21"/>
        <v>1.875</v>
      </c>
      <c r="L229" s="1" t="str">
        <f t="shared" si="22"/>
        <v>Active</v>
      </c>
      <c r="M229">
        <v>7</v>
      </c>
      <c r="N229" t="s">
        <v>15</v>
      </c>
      <c r="O229" t="s">
        <v>44</v>
      </c>
      <c r="P229">
        <v>72</v>
      </c>
      <c r="Q229">
        <v>6000</v>
      </c>
      <c r="R229" t="str">
        <f t="shared" si="23"/>
        <v>Half Achieved</v>
      </c>
      <c r="S229" t="s">
        <v>25</v>
      </c>
    </row>
    <row r="230" spans="1:19" x14ac:dyDescent="0.25">
      <c r="A230">
        <v>229</v>
      </c>
      <c r="B230" t="s">
        <v>28</v>
      </c>
      <c r="C230">
        <v>44</v>
      </c>
      <c r="D230" t="str">
        <f t="shared" si="18"/>
        <v>40's</v>
      </c>
      <c r="E230" t="s">
        <v>26</v>
      </c>
      <c r="F230">
        <v>6.6</v>
      </c>
      <c r="G230" t="str">
        <f t="shared" si="19"/>
        <v>Low</v>
      </c>
      <c r="H230">
        <v>7</v>
      </c>
      <c r="I230" t="str">
        <f t="shared" si="20"/>
        <v>Good</v>
      </c>
      <c r="J230">
        <v>45</v>
      </c>
      <c r="K230" s="1">
        <f t="shared" si="21"/>
        <v>1.875</v>
      </c>
      <c r="L230" s="1" t="str">
        <f t="shared" si="22"/>
        <v>Active</v>
      </c>
      <c r="M230">
        <v>4</v>
      </c>
      <c r="N230" t="s">
        <v>15</v>
      </c>
      <c r="O230" t="s">
        <v>50</v>
      </c>
      <c r="P230">
        <v>65</v>
      </c>
      <c r="Q230">
        <v>6000</v>
      </c>
      <c r="R230" t="str">
        <f t="shared" si="23"/>
        <v>Half Achieved</v>
      </c>
      <c r="S230" t="s">
        <v>25</v>
      </c>
    </row>
    <row r="231" spans="1:19" x14ac:dyDescent="0.25">
      <c r="A231">
        <v>230</v>
      </c>
      <c r="B231" t="s">
        <v>13</v>
      </c>
      <c r="C231">
        <v>44</v>
      </c>
      <c r="D231" t="str">
        <f t="shared" si="18"/>
        <v>40's</v>
      </c>
      <c r="E231" t="s">
        <v>49</v>
      </c>
      <c r="F231">
        <v>6.3</v>
      </c>
      <c r="G231" t="str">
        <f t="shared" si="19"/>
        <v>Low</v>
      </c>
      <c r="H231">
        <v>6</v>
      </c>
      <c r="I231" t="str">
        <f t="shared" si="20"/>
        <v>Good</v>
      </c>
      <c r="J231">
        <v>45</v>
      </c>
      <c r="K231" s="1">
        <f t="shared" si="21"/>
        <v>1.875</v>
      </c>
      <c r="L231" s="1" t="str">
        <f t="shared" si="22"/>
        <v>Active</v>
      </c>
      <c r="M231">
        <v>7</v>
      </c>
      <c r="N231" t="s">
        <v>15</v>
      </c>
      <c r="O231" t="s">
        <v>44</v>
      </c>
      <c r="P231">
        <v>72</v>
      </c>
      <c r="Q231">
        <v>6000</v>
      </c>
      <c r="R231" t="str">
        <f t="shared" si="23"/>
        <v>Half Achieved</v>
      </c>
      <c r="S231" t="s">
        <v>25</v>
      </c>
    </row>
    <row r="232" spans="1:19" x14ac:dyDescent="0.25">
      <c r="A232">
        <v>231</v>
      </c>
      <c r="B232" t="s">
        <v>28</v>
      </c>
      <c r="C232">
        <v>44</v>
      </c>
      <c r="D232" t="str">
        <f t="shared" si="18"/>
        <v>40's</v>
      </c>
      <c r="E232" t="s">
        <v>26</v>
      </c>
      <c r="F232">
        <v>6.6</v>
      </c>
      <c r="G232" t="str">
        <f t="shared" si="19"/>
        <v>Low</v>
      </c>
      <c r="H232">
        <v>7</v>
      </c>
      <c r="I232" t="str">
        <f t="shared" si="20"/>
        <v>Good</v>
      </c>
      <c r="J232">
        <v>45</v>
      </c>
      <c r="K232" s="1">
        <f t="shared" si="21"/>
        <v>1.875</v>
      </c>
      <c r="L232" s="1" t="str">
        <f t="shared" si="22"/>
        <v>Active</v>
      </c>
      <c r="M232">
        <v>4</v>
      </c>
      <c r="N232" t="s">
        <v>15</v>
      </c>
      <c r="O232" t="s">
        <v>50</v>
      </c>
      <c r="P232">
        <v>65</v>
      </c>
      <c r="Q232">
        <v>6000</v>
      </c>
      <c r="R232" t="str">
        <f t="shared" si="23"/>
        <v>Half Achieved</v>
      </c>
      <c r="S232" t="s">
        <v>25</v>
      </c>
    </row>
    <row r="233" spans="1:19" x14ac:dyDescent="0.25">
      <c r="A233">
        <v>232</v>
      </c>
      <c r="B233" t="s">
        <v>13</v>
      </c>
      <c r="C233">
        <v>44</v>
      </c>
      <c r="D233" t="str">
        <f t="shared" si="18"/>
        <v>40's</v>
      </c>
      <c r="E233" t="s">
        <v>49</v>
      </c>
      <c r="F233">
        <v>6.3</v>
      </c>
      <c r="G233" t="str">
        <f t="shared" si="19"/>
        <v>Low</v>
      </c>
      <c r="H233">
        <v>6</v>
      </c>
      <c r="I233" t="str">
        <f t="shared" si="20"/>
        <v>Good</v>
      </c>
      <c r="J233">
        <v>45</v>
      </c>
      <c r="K233" s="1">
        <f t="shared" si="21"/>
        <v>1.875</v>
      </c>
      <c r="L233" s="1" t="str">
        <f t="shared" si="22"/>
        <v>Active</v>
      </c>
      <c r="M233">
        <v>7</v>
      </c>
      <c r="N233" t="s">
        <v>15</v>
      </c>
      <c r="O233" t="s">
        <v>44</v>
      </c>
      <c r="P233">
        <v>72</v>
      </c>
      <c r="Q233">
        <v>6000</v>
      </c>
      <c r="R233" t="str">
        <f t="shared" si="23"/>
        <v>Half Achieved</v>
      </c>
      <c r="S233" t="s">
        <v>25</v>
      </c>
    </row>
    <row r="234" spans="1:19" x14ac:dyDescent="0.25">
      <c r="A234">
        <v>233</v>
      </c>
      <c r="B234" t="s">
        <v>28</v>
      </c>
      <c r="C234">
        <v>44</v>
      </c>
      <c r="D234" t="str">
        <f t="shared" si="18"/>
        <v>40's</v>
      </c>
      <c r="E234" t="s">
        <v>26</v>
      </c>
      <c r="F234">
        <v>6.6</v>
      </c>
      <c r="G234" t="str">
        <f t="shared" si="19"/>
        <v>Low</v>
      </c>
      <c r="H234">
        <v>7</v>
      </c>
      <c r="I234" t="str">
        <f t="shared" si="20"/>
        <v>Good</v>
      </c>
      <c r="J234">
        <v>45</v>
      </c>
      <c r="K234" s="1">
        <f t="shared" si="21"/>
        <v>1.875</v>
      </c>
      <c r="L234" s="1" t="str">
        <f t="shared" si="22"/>
        <v>Active</v>
      </c>
      <c r="M234">
        <v>4</v>
      </c>
      <c r="N234" t="s">
        <v>15</v>
      </c>
      <c r="O234" t="s">
        <v>50</v>
      </c>
      <c r="P234">
        <v>65</v>
      </c>
      <c r="Q234">
        <v>6000</v>
      </c>
      <c r="R234" t="str">
        <f t="shared" si="23"/>
        <v>Half Achieved</v>
      </c>
      <c r="S234" t="s">
        <v>25</v>
      </c>
    </row>
    <row r="235" spans="1:19" x14ac:dyDescent="0.25">
      <c r="A235">
        <v>234</v>
      </c>
      <c r="B235" t="s">
        <v>13</v>
      </c>
      <c r="C235">
        <v>44</v>
      </c>
      <c r="D235" t="str">
        <f t="shared" si="18"/>
        <v>40's</v>
      </c>
      <c r="E235" t="s">
        <v>49</v>
      </c>
      <c r="F235">
        <v>6.3</v>
      </c>
      <c r="G235" t="str">
        <f t="shared" si="19"/>
        <v>Low</v>
      </c>
      <c r="H235">
        <v>6</v>
      </c>
      <c r="I235" t="str">
        <f t="shared" si="20"/>
        <v>Good</v>
      </c>
      <c r="J235">
        <v>45</v>
      </c>
      <c r="K235" s="1">
        <f t="shared" si="21"/>
        <v>1.875</v>
      </c>
      <c r="L235" s="1" t="str">
        <f t="shared" si="22"/>
        <v>Active</v>
      </c>
      <c r="M235">
        <v>7</v>
      </c>
      <c r="N235" t="s">
        <v>15</v>
      </c>
      <c r="O235" t="s">
        <v>44</v>
      </c>
      <c r="P235">
        <v>72</v>
      </c>
      <c r="Q235">
        <v>6000</v>
      </c>
      <c r="R235" t="str">
        <f t="shared" si="23"/>
        <v>Half Achieved</v>
      </c>
      <c r="S235" t="s">
        <v>25</v>
      </c>
    </row>
    <row r="236" spans="1:19" x14ac:dyDescent="0.25">
      <c r="A236">
        <v>235</v>
      </c>
      <c r="B236" t="s">
        <v>28</v>
      </c>
      <c r="C236">
        <v>44</v>
      </c>
      <c r="D236" t="str">
        <f t="shared" si="18"/>
        <v>40's</v>
      </c>
      <c r="E236" t="s">
        <v>26</v>
      </c>
      <c r="F236">
        <v>6.6</v>
      </c>
      <c r="G236" t="str">
        <f t="shared" si="19"/>
        <v>Low</v>
      </c>
      <c r="H236">
        <v>7</v>
      </c>
      <c r="I236" t="str">
        <f t="shared" si="20"/>
        <v>Good</v>
      </c>
      <c r="J236">
        <v>45</v>
      </c>
      <c r="K236" s="1">
        <f t="shared" si="21"/>
        <v>1.875</v>
      </c>
      <c r="L236" s="1" t="str">
        <f t="shared" si="22"/>
        <v>Active</v>
      </c>
      <c r="M236">
        <v>4</v>
      </c>
      <c r="N236" t="s">
        <v>15</v>
      </c>
      <c r="O236" t="s">
        <v>50</v>
      </c>
      <c r="P236">
        <v>65</v>
      </c>
      <c r="Q236">
        <v>6000</v>
      </c>
      <c r="R236" t="str">
        <f t="shared" si="23"/>
        <v>Half Achieved</v>
      </c>
      <c r="S236" t="s">
        <v>25</v>
      </c>
    </row>
    <row r="237" spans="1:19" x14ac:dyDescent="0.25">
      <c r="A237">
        <v>236</v>
      </c>
      <c r="B237" t="s">
        <v>13</v>
      </c>
      <c r="C237">
        <v>44</v>
      </c>
      <c r="D237" t="str">
        <f t="shared" si="18"/>
        <v>40's</v>
      </c>
      <c r="E237" t="s">
        <v>49</v>
      </c>
      <c r="F237">
        <v>6.3</v>
      </c>
      <c r="G237" t="str">
        <f t="shared" si="19"/>
        <v>Low</v>
      </c>
      <c r="H237">
        <v>6</v>
      </c>
      <c r="I237" t="str">
        <f t="shared" si="20"/>
        <v>Good</v>
      </c>
      <c r="J237">
        <v>45</v>
      </c>
      <c r="K237" s="1">
        <f t="shared" si="21"/>
        <v>1.875</v>
      </c>
      <c r="L237" s="1" t="str">
        <f t="shared" si="22"/>
        <v>Active</v>
      </c>
      <c r="M237">
        <v>7</v>
      </c>
      <c r="N237" t="s">
        <v>15</v>
      </c>
      <c r="O237" t="s">
        <v>44</v>
      </c>
      <c r="P237">
        <v>72</v>
      </c>
      <c r="Q237">
        <v>6000</v>
      </c>
      <c r="R237" t="str">
        <f t="shared" si="23"/>
        <v>Half Achieved</v>
      </c>
      <c r="S237" t="s">
        <v>25</v>
      </c>
    </row>
    <row r="238" spans="1:19" x14ac:dyDescent="0.25">
      <c r="A238">
        <v>237</v>
      </c>
      <c r="B238" t="s">
        <v>13</v>
      </c>
      <c r="C238">
        <v>44</v>
      </c>
      <c r="D238" t="str">
        <f t="shared" si="18"/>
        <v>40's</v>
      </c>
      <c r="E238" t="s">
        <v>49</v>
      </c>
      <c r="F238">
        <v>6.4</v>
      </c>
      <c r="G238" t="str">
        <f t="shared" si="19"/>
        <v>Low</v>
      </c>
      <c r="H238">
        <v>6</v>
      </c>
      <c r="I238" t="str">
        <f t="shared" si="20"/>
        <v>Good</v>
      </c>
      <c r="J238">
        <v>45</v>
      </c>
      <c r="K238" s="1">
        <f t="shared" si="21"/>
        <v>1.875</v>
      </c>
      <c r="L238" s="1" t="str">
        <f t="shared" si="22"/>
        <v>Active</v>
      </c>
      <c r="M238">
        <v>7</v>
      </c>
      <c r="N238" t="s">
        <v>15</v>
      </c>
      <c r="O238" t="s">
        <v>44</v>
      </c>
      <c r="P238">
        <v>72</v>
      </c>
      <c r="Q238">
        <v>6000</v>
      </c>
      <c r="R238" t="str">
        <f t="shared" si="23"/>
        <v>Half Achieved</v>
      </c>
      <c r="S238" t="s">
        <v>25</v>
      </c>
    </row>
    <row r="239" spans="1:19" x14ac:dyDescent="0.25">
      <c r="A239">
        <v>238</v>
      </c>
      <c r="B239" t="s">
        <v>28</v>
      </c>
      <c r="C239">
        <v>44</v>
      </c>
      <c r="D239" t="str">
        <f t="shared" si="18"/>
        <v>40's</v>
      </c>
      <c r="E239" t="s">
        <v>26</v>
      </c>
      <c r="F239">
        <v>6.5</v>
      </c>
      <c r="G239" t="str">
        <f t="shared" si="19"/>
        <v>Low</v>
      </c>
      <c r="H239">
        <v>7</v>
      </c>
      <c r="I239" t="str">
        <f t="shared" si="20"/>
        <v>Good</v>
      </c>
      <c r="J239">
        <v>45</v>
      </c>
      <c r="K239" s="1">
        <f t="shared" si="21"/>
        <v>1.875</v>
      </c>
      <c r="L239" s="1" t="str">
        <f t="shared" si="22"/>
        <v>Active</v>
      </c>
      <c r="M239">
        <v>4</v>
      </c>
      <c r="N239" t="s">
        <v>15</v>
      </c>
      <c r="O239" t="s">
        <v>50</v>
      </c>
      <c r="P239">
        <v>65</v>
      </c>
      <c r="Q239">
        <v>6000</v>
      </c>
      <c r="R239" t="str">
        <f t="shared" si="23"/>
        <v>Half Achieved</v>
      </c>
      <c r="S239" t="s">
        <v>25</v>
      </c>
    </row>
    <row r="240" spans="1:19" x14ac:dyDescent="0.25">
      <c r="A240">
        <v>239</v>
      </c>
      <c r="B240" t="s">
        <v>13</v>
      </c>
      <c r="C240">
        <v>44</v>
      </c>
      <c r="D240" t="str">
        <f t="shared" si="18"/>
        <v>40's</v>
      </c>
      <c r="E240" t="s">
        <v>49</v>
      </c>
      <c r="F240">
        <v>6.3</v>
      </c>
      <c r="G240" t="str">
        <f t="shared" si="19"/>
        <v>Low</v>
      </c>
      <c r="H240">
        <v>6</v>
      </c>
      <c r="I240" t="str">
        <f t="shared" si="20"/>
        <v>Good</v>
      </c>
      <c r="J240">
        <v>45</v>
      </c>
      <c r="K240" s="1">
        <f t="shared" si="21"/>
        <v>1.875</v>
      </c>
      <c r="L240" s="1" t="str">
        <f t="shared" si="22"/>
        <v>Active</v>
      </c>
      <c r="M240">
        <v>7</v>
      </c>
      <c r="N240" t="s">
        <v>15</v>
      </c>
      <c r="O240" t="s">
        <v>44</v>
      </c>
      <c r="P240">
        <v>72</v>
      </c>
      <c r="Q240">
        <v>6000</v>
      </c>
      <c r="R240" t="str">
        <f t="shared" si="23"/>
        <v>Half Achieved</v>
      </c>
      <c r="S240" t="s">
        <v>25</v>
      </c>
    </row>
    <row r="241" spans="1:19" x14ac:dyDescent="0.25">
      <c r="A241">
        <v>240</v>
      </c>
      <c r="B241" t="s">
        <v>13</v>
      </c>
      <c r="C241">
        <v>44</v>
      </c>
      <c r="D241" t="str">
        <f t="shared" si="18"/>
        <v>40's</v>
      </c>
      <c r="E241" t="s">
        <v>49</v>
      </c>
      <c r="F241">
        <v>6.4</v>
      </c>
      <c r="G241" t="str">
        <f t="shared" si="19"/>
        <v>Low</v>
      </c>
      <c r="H241">
        <v>6</v>
      </c>
      <c r="I241" t="str">
        <f t="shared" si="20"/>
        <v>Good</v>
      </c>
      <c r="J241">
        <v>45</v>
      </c>
      <c r="K241" s="1">
        <f t="shared" si="21"/>
        <v>1.875</v>
      </c>
      <c r="L241" s="1" t="str">
        <f t="shared" si="22"/>
        <v>Active</v>
      </c>
      <c r="M241">
        <v>7</v>
      </c>
      <c r="N241" t="s">
        <v>15</v>
      </c>
      <c r="O241" t="s">
        <v>44</v>
      </c>
      <c r="P241">
        <v>72</v>
      </c>
      <c r="Q241">
        <v>6000</v>
      </c>
      <c r="R241" t="str">
        <f t="shared" si="23"/>
        <v>Half Achieved</v>
      </c>
      <c r="S241" t="s">
        <v>25</v>
      </c>
    </row>
    <row r="242" spans="1:19" x14ac:dyDescent="0.25">
      <c r="A242">
        <v>241</v>
      </c>
      <c r="B242" t="s">
        <v>28</v>
      </c>
      <c r="C242">
        <v>44</v>
      </c>
      <c r="D242" t="str">
        <f t="shared" si="18"/>
        <v>40's</v>
      </c>
      <c r="E242" t="s">
        <v>26</v>
      </c>
      <c r="F242">
        <v>6.5</v>
      </c>
      <c r="G242" t="str">
        <f t="shared" si="19"/>
        <v>Low</v>
      </c>
      <c r="H242">
        <v>7</v>
      </c>
      <c r="I242" t="str">
        <f t="shared" si="20"/>
        <v>Good</v>
      </c>
      <c r="J242">
        <v>45</v>
      </c>
      <c r="K242" s="1">
        <f t="shared" si="21"/>
        <v>1.875</v>
      </c>
      <c r="L242" s="1" t="str">
        <f t="shared" si="22"/>
        <v>Active</v>
      </c>
      <c r="M242">
        <v>4</v>
      </c>
      <c r="N242" t="s">
        <v>15</v>
      </c>
      <c r="O242" t="s">
        <v>50</v>
      </c>
      <c r="P242">
        <v>65</v>
      </c>
      <c r="Q242">
        <v>6000</v>
      </c>
      <c r="R242" t="str">
        <f t="shared" si="23"/>
        <v>Half Achieved</v>
      </c>
      <c r="S242" t="s">
        <v>25</v>
      </c>
    </row>
    <row r="243" spans="1:19" x14ac:dyDescent="0.25">
      <c r="A243">
        <v>242</v>
      </c>
      <c r="B243" t="s">
        <v>13</v>
      </c>
      <c r="C243">
        <v>44</v>
      </c>
      <c r="D243" t="str">
        <f t="shared" si="18"/>
        <v>40's</v>
      </c>
      <c r="E243" t="s">
        <v>49</v>
      </c>
      <c r="F243">
        <v>6.3</v>
      </c>
      <c r="G243" t="str">
        <f t="shared" si="19"/>
        <v>Low</v>
      </c>
      <c r="H243">
        <v>6</v>
      </c>
      <c r="I243" t="str">
        <f t="shared" si="20"/>
        <v>Good</v>
      </c>
      <c r="J243">
        <v>45</v>
      </c>
      <c r="K243" s="1">
        <f t="shared" si="21"/>
        <v>1.875</v>
      </c>
      <c r="L243" s="1" t="str">
        <f t="shared" si="22"/>
        <v>Active</v>
      </c>
      <c r="M243">
        <v>7</v>
      </c>
      <c r="N243" t="s">
        <v>15</v>
      </c>
      <c r="O243" t="s">
        <v>44</v>
      </c>
      <c r="P243">
        <v>72</v>
      </c>
      <c r="Q243">
        <v>6000</v>
      </c>
      <c r="R243" t="str">
        <f t="shared" si="23"/>
        <v>Half Achieved</v>
      </c>
      <c r="S243" t="s">
        <v>25</v>
      </c>
    </row>
    <row r="244" spans="1:19" x14ac:dyDescent="0.25">
      <c r="A244">
        <v>243</v>
      </c>
      <c r="B244" t="s">
        <v>13</v>
      </c>
      <c r="C244">
        <v>44</v>
      </c>
      <c r="D244" t="str">
        <f t="shared" si="18"/>
        <v>40's</v>
      </c>
      <c r="E244" t="s">
        <v>49</v>
      </c>
      <c r="F244">
        <v>6.4</v>
      </c>
      <c r="G244" t="str">
        <f t="shared" si="19"/>
        <v>Low</v>
      </c>
      <c r="H244">
        <v>6</v>
      </c>
      <c r="I244" t="str">
        <f t="shared" si="20"/>
        <v>Good</v>
      </c>
      <c r="J244">
        <v>45</v>
      </c>
      <c r="K244" s="1">
        <f t="shared" si="21"/>
        <v>1.875</v>
      </c>
      <c r="L244" s="1" t="str">
        <f t="shared" si="22"/>
        <v>Active</v>
      </c>
      <c r="M244">
        <v>7</v>
      </c>
      <c r="N244" t="s">
        <v>15</v>
      </c>
      <c r="O244" t="s">
        <v>44</v>
      </c>
      <c r="P244">
        <v>72</v>
      </c>
      <c r="Q244">
        <v>6000</v>
      </c>
      <c r="R244" t="str">
        <f t="shared" si="23"/>
        <v>Half Achieved</v>
      </c>
      <c r="S244" t="s">
        <v>25</v>
      </c>
    </row>
    <row r="245" spans="1:19" x14ac:dyDescent="0.25">
      <c r="A245">
        <v>244</v>
      </c>
      <c r="B245" t="s">
        <v>28</v>
      </c>
      <c r="C245">
        <v>44</v>
      </c>
      <c r="D245" t="str">
        <f t="shared" si="18"/>
        <v>40's</v>
      </c>
      <c r="E245" t="s">
        <v>26</v>
      </c>
      <c r="F245">
        <v>6.5</v>
      </c>
      <c r="G245" t="str">
        <f t="shared" si="19"/>
        <v>Low</v>
      </c>
      <c r="H245">
        <v>7</v>
      </c>
      <c r="I245" t="str">
        <f t="shared" si="20"/>
        <v>Good</v>
      </c>
      <c r="J245">
        <v>45</v>
      </c>
      <c r="K245" s="1">
        <f t="shared" si="21"/>
        <v>1.875</v>
      </c>
      <c r="L245" s="1" t="str">
        <f t="shared" si="22"/>
        <v>Active</v>
      </c>
      <c r="M245">
        <v>4</v>
      </c>
      <c r="N245" t="s">
        <v>15</v>
      </c>
      <c r="O245" t="s">
        <v>50</v>
      </c>
      <c r="P245">
        <v>65</v>
      </c>
      <c r="Q245">
        <v>6000</v>
      </c>
      <c r="R245" t="str">
        <f t="shared" si="23"/>
        <v>Half Achieved</v>
      </c>
      <c r="S245" t="s">
        <v>25</v>
      </c>
    </row>
    <row r="246" spans="1:19" x14ac:dyDescent="0.25">
      <c r="A246">
        <v>245</v>
      </c>
      <c r="B246" t="s">
        <v>13</v>
      </c>
      <c r="C246">
        <v>44</v>
      </c>
      <c r="D246" t="str">
        <f t="shared" si="18"/>
        <v>40's</v>
      </c>
      <c r="E246" t="s">
        <v>49</v>
      </c>
      <c r="F246">
        <v>6.3</v>
      </c>
      <c r="G246" t="str">
        <f t="shared" si="19"/>
        <v>Low</v>
      </c>
      <c r="H246">
        <v>6</v>
      </c>
      <c r="I246" t="str">
        <f t="shared" si="20"/>
        <v>Good</v>
      </c>
      <c r="J246">
        <v>45</v>
      </c>
      <c r="K246" s="1">
        <f t="shared" si="21"/>
        <v>1.875</v>
      </c>
      <c r="L246" s="1" t="str">
        <f t="shared" si="22"/>
        <v>Active</v>
      </c>
      <c r="M246">
        <v>7</v>
      </c>
      <c r="N246" t="s">
        <v>15</v>
      </c>
      <c r="O246" t="s">
        <v>44</v>
      </c>
      <c r="P246">
        <v>72</v>
      </c>
      <c r="Q246">
        <v>6000</v>
      </c>
      <c r="R246" t="str">
        <f t="shared" si="23"/>
        <v>Half Achieved</v>
      </c>
      <c r="S246" t="s">
        <v>25</v>
      </c>
    </row>
    <row r="247" spans="1:19" x14ac:dyDescent="0.25">
      <c r="A247">
        <v>246</v>
      </c>
      <c r="B247" t="s">
        <v>28</v>
      </c>
      <c r="C247">
        <v>44</v>
      </c>
      <c r="D247" t="str">
        <f t="shared" si="18"/>
        <v>40's</v>
      </c>
      <c r="E247" t="s">
        <v>26</v>
      </c>
      <c r="F247">
        <v>6.5</v>
      </c>
      <c r="G247" t="str">
        <f t="shared" si="19"/>
        <v>Low</v>
      </c>
      <c r="H247">
        <v>7</v>
      </c>
      <c r="I247" t="str">
        <f t="shared" si="20"/>
        <v>Good</v>
      </c>
      <c r="J247">
        <v>45</v>
      </c>
      <c r="K247" s="1">
        <f t="shared" si="21"/>
        <v>1.875</v>
      </c>
      <c r="L247" s="1" t="str">
        <f t="shared" si="22"/>
        <v>Active</v>
      </c>
      <c r="M247">
        <v>4</v>
      </c>
      <c r="N247" t="s">
        <v>15</v>
      </c>
      <c r="O247" t="s">
        <v>50</v>
      </c>
      <c r="P247">
        <v>65</v>
      </c>
      <c r="Q247">
        <v>6000</v>
      </c>
      <c r="R247" t="str">
        <f t="shared" si="23"/>
        <v>Half Achieved</v>
      </c>
      <c r="S247" t="s">
        <v>25</v>
      </c>
    </row>
    <row r="248" spans="1:19" x14ac:dyDescent="0.25">
      <c r="A248">
        <v>247</v>
      </c>
      <c r="B248" t="s">
        <v>13</v>
      </c>
      <c r="C248">
        <v>44</v>
      </c>
      <c r="D248" t="str">
        <f t="shared" si="18"/>
        <v>40's</v>
      </c>
      <c r="E248" t="s">
        <v>49</v>
      </c>
      <c r="F248">
        <v>6.3</v>
      </c>
      <c r="G248" t="str">
        <f t="shared" si="19"/>
        <v>Low</v>
      </c>
      <c r="H248">
        <v>6</v>
      </c>
      <c r="I248" t="str">
        <f t="shared" si="20"/>
        <v>Good</v>
      </c>
      <c r="J248">
        <v>45</v>
      </c>
      <c r="K248" s="1">
        <f t="shared" si="21"/>
        <v>1.875</v>
      </c>
      <c r="L248" s="1" t="str">
        <f t="shared" si="22"/>
        <v>Active</v>
      </c>
      <c r="M248">
        <v>7</v>
      </c>
      <c r="N248" t="s">
        <v>15</v>
      </c>
      <c r="O248" t="s">
        <v>44</v>
      </c>
      <c r="P248">
        <v>72</v>
      </c>
      <c r="Q248">
        <v>6000</v>
      </c>
      <c r="R248" t="str">
        <f t="shared" si="23"/>
        <v>Half Achieved</v>
      </c>
      <c r="S248" t="s">
        <v>25</v>
      </c>
    </row>
    <row r="249" spans="1:19" x14ac:dyDescent="0.25">
      <c r="A249">
        <v>248</v>
      </c>
      <c r="B249" t="s">
        <v>13</v>
      </c>
      <c r="C249">
        <v>44</v>
      </c>
      <c r="D249" t="str">
        <f t="shared" si="18"/>
        <v>40's</v>
      </c>
      <c r="E249" t="s">
        <v>33</v>
      </c>
      <c r="F249">
        <v>6.8</v>
      </c>
      <c r="G249" t="str">
        <f t="shared" si="19"/>
        <v>Low</v>
      </c>
      <c r="H249">
        <v>7</v>
      </c>
      <c r="I249" t="str">
        <f t="shared" si="20"/>
        <v>Good</v>
      </c>
      <c r="J249">
        <v>45</v>
      </c>
      <c r="K249" s="1">
        <f t="shared" si="21"/>
        <v>1.875</v>
      </c>
      <c r="L249" s="1" t="str">
        <f t="shared" si="22"/>
        <v>Active</v>
      </c>
      <c r="M249">
        <v>7</v>
      </c>
      <c r="N249" t="s">
        <v>15</v>
      </c>
      <c r="O249" t="s">
        <v>44</v>
      </c>
      <c r="P249">
        <v>78</v>
      </c>
      <c r="Q249">
        <v>5000</v>
      </c>
      <c r="R249" t="str">
        <f t="shared" si="23"/>
        <v>Half Achieved</v>
      </c>
      <c r="S249" t="s">
        <v>25</v>
      </c>
    </row>
    <row r="250" spans="1:19" x14ac:dyDescent="0.25">
      <c r="A250">
        <v>249</v>
      </c>
      <c r="B250" t="s">
        <v>13</v>
      </c>
      <c r="C250">
        <v>44</v>
      </c>
      <c r="D250" t="str">
        <f t="shared" si="18"/>
        <v>40's</v>
      </c>
      <c r="E250" t="s">
        <v>49</v>
      </c>
      <c r="F250">
        <v>6.4</v>
      </c>
      <c r="G250" t="str">
        <f t="shared" si="19"/>
        <v>Low</v>
      </c>
      <c r="H250">
        <v>6</v>
      </c>
      <c r="I250" t="str">
        <f t="shared" si="20"/>
        <v>Good</v>
      </c>
      <c r="J250">
        <v>45</v>
      </c>
      <c r="K250" s="1">
        <f t="shared" si="21"/>
        <v>1.875</v>
      </c>
      <c r="L250" s="1" t="str">
        <f t="shared" si="22"/>
        <v>Active</v>
      </c>
      <c r="M250">
        <v>7</v>
      </c>
      <c r="N250" t="s">
        <v>15</v>
      </c>
      <c r="O250" t="s">
        <v>44</v>
      </c>
      <c r="P250">
        <v>72</v>
      </c>
      <c r="Q250">
        <v>6000</v>
      </c>
      <c r="R250" t="str">
        <f t="shared" si="23"/>
        <v>Half Achieved</v>
      </c>
      <c r="S250" t="s">
        <v>17</v>
      </c>
    </row>
    <row r="251" spans="1:19" x14ac:dyDescent="0.25">
      <c r="A251">
        <v>250</v>
      </c>
      <c r="B251" t="s">
        <v>13</v>
      </c>
      <c r="C251">
        <v>44</v>
      </c>
      <c r="D251" t="str">
        <f t="shared" si="18"/>
        <v>40's</v>
      </c>
      <c r="E251" t="s">
        <v>49</v>
      </c>
      <c r="F251">
        <v>6.5</v>
      </c>
      <c r="G251" t="str">
        <f t="shared" si="19"/>
        <v>Low</v>
      </c>
      <c r="H251">
        <v>6</v>
      </c>
      <c r="I251" t="str">
        <f t="shared" si="20"/>
        <v>Good</v>
      </c>
      <c r="J251">
        <v>45</v>
      </c>
      <c r="K251" s="1">
        <f t="shared" si="21"/>
        <v>1.875</v>
      </c>
      <c r="L251" s="1" t="str">
        <f t="shared" si="22"/>
        <v>Active</v>
      </c>
      <c r="M251">
        <v>7</v>
      </c>
      <c r="N251" t="s">
        <v>15</v>
      </c>
      <c r="O251" t="s">
        <v>44</v>
      </c>
      <c r="P251">
        <v>72</v>
      </c>
      <c r="Q251">
        <v>6000</v>
      </c>
      <c r="R251" t="str">
        <f t="shared" si="23"/>
        <v>Half Achieved</v>
      </c>
      <c r="S251" t="s">
        <v>17</v>
      </c>
    </row>
    <row r="252" spans="1:19" x14ac:dyDescent="0.25">
      <c r="A252">
        <v>251</v>
      </c>
      <c r="B252" t="s">
        <v>28</v>
      </c>
      <c r="C252">
        <v>45</v>
      </c>
      <c r="D252" t="str">
        <f t="shared" si="18"/>
        <v>40's</v>
      </c>
      <c r="E252" t="s">
        <v>26</v>
      </c>
      <c r="F252">
        <v>6.8</v>
      </c>
      <c r="G252" t="str">
        <f t="shared" si="19"/>
        <v>Low</v>
      </c>
      <c r="H252">
        <v>7</v>
      </c>
      <c r="I252" t="str">
        <f t="shared" si="20"/>
        <v>Good</v>
      </c>
      <c r="J252">
        <v>30</v>
      </c>
      <c r="K252" s="1">
        <f t="shared" si="21"/>
        <v>1.25</v>
      </c>
      <c r="L252" s="1" t="str">
        <f t="shared" si="22"/>
        <v>Sedentary</v>
      </c>
      <c r="M252">
        <v>6</v>
      </c>
      <c r="N252" t="s">
        <v>15</v>
      </c>
      <c r="O252" t="s">
        <v>50</v>
      </c>
      <c r="P252">
        <v>65</v>
      </c>
      <c r="Q252">
        <v>6000</v>
      </c>
      <c r="R252" t="str">
        <f t="shared" si="23"/>
        <v>Half Achieved</v>
      </c>
      <c r="S252" t="s">
        <v>25</v>
      </c>
    </row>
    <row r="253" spans="1:19" x14ac:dyDescent="0.25">
      <c r="A253">
        <v>252</v>
      </c>
      <c r="B253" t="s">
        <v>28</v>
      </c>
      <c r="C253">
        <v>45</v>
      </c>
      <c r="D253" t="str">
        <f t="shared" si="18"/>
        <v>40's</v>
      </c>
      <c r="E253" t="s">
        <v>26</v>
      </c>
      <c r="F253">
        <v>6.8</v>
      </c>
      <c r="G253" t="str">
        <f t="shared" si="19"/>
        <v>Low</v>
      </c>
      <c r="H253">
        <v>7</v>
      </c>
      <c r="I253" t="str">
        <f t="shared" si="20"/>
        <v>Good</v>
      </c>
      <c r="J253">
        <v>30</v>
      </c>
      <c r="K253" s="1">
        <f t="shared" si="21"/>
        <v>1.25</v>
      </c>
      <c r="L253" s="1" t="str">
        <f t="shared" si="22"/>
        <v>Sedentary</v>
      </c>
      <c r="M253">
        <v>6</v>
      </c>
      <c r="N253" t="s">
        <v>15</v>
      </c>
      <c r="O253" t="s">
        <v>50</v>
      </c>
      <c r="P253">
        <v>65</v>
      </c>
      <c r="Q253">
        <v>6000</v>
      </c>
      <c r="R253" t="str">
        <f t="shared" si="23"/>
        <v>Half Achieved</v>
      </c>
      <c r="S253" t="s">
        <v>25</v>
      </c>
    </row>
    <row r="254" spans="1:19" x14ac:dyDescent="0.25">
      <c r="A254">
        <v>253</v>
      </c>
      <c r="B254" t="s">
        <v>28</v>
      </c>
      <c r="C254">
        <v>45</v>
      </c>
      <c r="D254" t="str">
        <f t="shared" si="18"/>
        <v>40's</v>
      </c>
      <c r="E254" t="s">
        <v>26</v>
      </c>
      <c r="F254">
        <v>6.5</v>
      </c>
      <c r="G254" t="str">
        <f t="shared" si="19"/>
        <v>Low</v>
      </c>
      <c r="H254">
        <v>7</v>
      </c>
      <c r="I254" t="str">
        <f t="shared" si="20"/>
        <v>Good</v>
      </c>
      <c r="J254">
        <v>45</v>
      </c>
      <c r="K254" s="1">
        <f t="shared" si="21"/>
        <v>1.875</v>
      </c>
      <c r="L254" s="1" t="str">
        <f t="shared" si="22"/>
        <v>Active</v>
      </c>
      <c r="M254">
        <v>4</v>
      </c>
      <c r="N254" t="s">
        <v>15</v>
      </c>
      <c r="O254" t="s">
        <v>50</v>
      </c>
      <c r="P254">
        <v>65</v>
      </c>
      <c r="Q254">
        <v>6000</v>
      </c>
      <c r="R254" t="str">
        <f t="shared" si="23"/>
        <v>Half Achieved</v>
      </c>
      <c r="S254" t="s">
        <v>25</v>
      </c>
    </row>
    <row r="255" spans="1:19" x14ac:dyDescent="0.25">
      <c r="A255">
        <v>254</v>
      </c>
      <c r="B255" t="s">
        <v>28</v>
      </c>
      <c r="C255">
        <v>45</v>
      </c>
      <c r="D255" t="str">
        <f t="shared" si="18"/>
        <v>40's</v>
      </c>
      <c r="E255" t="s">
        <v>26</v>
      </c>
      <c r="F255">
        <v>6.5</v>
      </c>
      <c r="G255" t="str">
        <f t="shared" si="19"/>
        <v>Low</v>
      </c>
      <c r="H255">
        <v>7</v>
      </c>
      <c r="I255" t="str">
        <f t="shared" si="20"/>
        <v>Good</v>
      </c>
      <c r="J255">
        <v>45</v>
      </c>
      <c r="K255" s="1">
        <f t="shared" si="21"/>
        <v>1.875</v>
      </c>
      <c r="L255" s="1" t="str">
        <f t="shared" si="22"/>
        <v>Active</v>
      </c>
      <c r="M255">
        <v>4</v>
      </c>
      <c r="N255" t="s">
        <v>15</v>
      </c>
      <c r="O255" t="s">
        <v>50</v>
      </c>
      <c r="P255">
        <v>65</v>
      </c>
      <c r="Q255">
        <v>6000</v>
      </c>
      <c r="R255" t="str">
        <f t="shared" si="23"/>
        <v>Half Achieved</v>
      </c>
      <c r="S255" t="s">
        <v>25</v>
      </c>
    </row>
    <row r="256" spans="1:19" x14ac:dyDescent="0.25">
      <c r="A256">
        <v>255</v>
      </c>
      <c r="B256" t="s">
        <v>28</v>
      </c>
      <c r="C256">
        <v>45</v>
      </c>
      <c r="D256" t="str">
        <f t="shared" si="18"/>
        <v>40's</v>
      </c>
      <c r="E256" t="s">
        <v>26</v>
      </c>
      <c r="F256">
        <v>6.5</v>
      </c>
      <c r="G256" t="str">
        <f t="shared" si="19"/>
        <v>Low</v>
      </c>
      <c r="H256">
        <v>7</v>
      </c>
      <c r="I256" t="str">
        <f t="shared" si="20"/>
        <v>Good</v>
      </c>
      <c r="J256">
        <v>45</v>
      </c>
      <c r="K256" s="1">
        <f t="shared" si="21"/>
        <v>1.875</v>
      </c>
      <c r="L256" s="1" t="str">
        <f t="shared" si="22"/>
        <v>Active</v>
      </c>
      <c r="M256">
        <v>4</v>
      </c>
      <c r="N256" t="s">
        <v>15</v>
      </c>
      <c r="O256" t="s">
        <v>50</v>
      </c>
      <c r="P256">
        <v>65</v>
      </c>
      <c r="Q256">
        <v>6000</v>
      </c>
      <c r="R256" t="str">
        <f t="shared" si="23"/>
        <v>Half Achieved</v>
      </c>
      <c r="S256" t="s">
        <v>25</v>
      </c>
    </row>
    <row r="257" spans="1:19" x14ac:dyDescent="0.25">
      <c r="A257">
        <v>256</v>
      </c>
      <c r="B257" t="s">
        <v>28</v>
      </c>
      <c r="C257">
        <v>45</v>
      </c>
      <c r="D257" t="str">
        <f t="shared" si="18"/>
        <v>40's</v>
      </c>
      <c r="E257" t="s">
        <v>26</v>
      </c>
      <c r="F257">
        <v>6.5</v>
      </c>
      <c r="G257" t="str">
        <f t="shared" si="19"/>
        <v>Low</v>
      </c>
      <c r="H257">
        <v>7</v>
      </c>
      <c r="I257" t="str">
        <f t="shared" si="20"/>
        <v>Good</v>
      </c>
      <c r="J257">
        <v>45</v>
      </c>
      <c r="K257" s="1">
        <f t="shared" si="21"/>
        <v>1.875</v>
      </c>
      <c r="L257" s="1" t="str">
        <f t="shared" si="22"/>
        <v>Active</v>
      </c>
      <c r="M257">
        <v>4</v>
      </c>
      <c r="N257" t="s">
        <v>15</v>
      </c>
      <c r="O257" t="s">
        <v>50</v>
      </c>
      <c r="P257">
        <v>65</v>
      </c>
      <c r="Q257">
        <v>6000</v>
      </c>
      <c r="R257" t="str">
        <f t="shared" si="23"/>
        <v>Half Achieved</v>
      </c>
      <c r="S257" t="s">
        <v>25</v>
      </c>
    </row>
    <row r="258" spans="1:19" x14ac:dyDescent="0.25">
      <c r="A258">
        <v>257</v>
      </c>
      <c r="B258" t="s">
        <v>28</v>
      </c>
      <c r="C258">
        <v>45</v>
      </c>
      <c r="D258" t="str">
        <f t="shared" si="18"/>
        <v>40's</v>
      </c>
      <c r="E258" t="s">
        <v>26</v>
      </c>
      <c r="F258">
        <v>6.6</v>
      </c>
      <c r="G258" t="str">
        <f t="shared" si="19"/>
        <v>Low</v>
      </c>
      <c r="H258">
        <v>7</v>
      </c>
      <c r="I258" t="str">
        <f t="shared" si="20"/>
        <v>Good</v>
      </c>
      <c r="J258">
        <v>45</v>
      </c>
      <c r="K258" s="1">
        <f t="shared" si="21"/>
        <v>1.875</v>
      </c>
      <c r="L258" s="1" t="str">
        <f t="shared" si="22"/>
        <v>Active</v>
      </c>
      <c r="M258">
        <v>4</v>
      </c>
      <c r="N258" t="s">
        <v>15</v>
      </c>
      <c r="O258" t="s">
        <v>50</v>
      </c>
      <c r="P258">
        <v>65</v>
      </c>
      <c r="Q258">
        <v>6000</v>
      </c>
      <c r="R258" t="str">
        <f t="shared" si="23"/>
        <v>Half Achieved</v>
      </c>
      <c r="S258" t="s">
        <v>25</v>
      </c>
    </row>
    <row r="259" spans="1:19" x14ac:dyDescent="0.25">
      <c r="A259">
        <v>258</v>
      </c>
      <c r="B259" t="s">
        <v>28</v>
      </c>
      <c r="C259">
        <v>45</v>
      </c>
      <c r="D259" t="str">
        <f t="shared" ref="D259:D322" si="24">IF(C259&lt;=29,"20's",(IF(C259&lt;=39,"30's",(IF(C259&lt;=49,"40's","50's")))))</f>
        <v>40's</v>
      </c>
      <c r="E259" t="s">
        <v>26</v>
      </c>
      <c r="F259">
        <v>6.6</v>
      </c>
      <c r="G259" t="str">
        <f t="shared" ref="G259:G322" si="25">IF(F259&lt;6,"Very low",(IF(F259&gt;=7,"Good","Low")))</f>
        <v>Low</v>
      </c>
      <c r="H259">
        <v>7</v>
      </c>
      <c r="I259" t="str">
        <f t="shared" ref="I259:I322" si="26">IF(H259&gt;=5,"Good","Poor")</f>
        <v>Good</v>
      </c>
      <c r="J259">
        <v>45</v>
      </c>
      <c r="K259" s="1">
        <f t="shared" ref="K259:K322" si="27">J259/24</f>
        <v>1.875</v>
      </c>
      <c r="L259" s="1" t="str">
        <f t="shared" ref="L259:L322" si="28">IF(K259&lt;=1.7,"Sedentary",(IF(K259&gt;=2,"Highly Active","Active")))</f>
        <v>Active</v>
      </c>
      <c r="M259">
        <v>4</v>
      </c>
      <c r="N259" t="s">
        <v>15</v>
      </c>
      <c r="O259" t="s">
        <v>50</v>
      </c>
      <c r="P259">
        <v>65</v>
      </c>
      <c r="Q259">
        <v>6000</v>
      </c>
      <c r="R259" t="str">
        <f t="shared" ref="R259:R322" si="29">IF(Q259=10000,"Steps Achieved",(IF(Q259&gt;=5000,"Half Achieved","Partially Achieved")))</f>
        <v>Half Achieved</v>
      </c>
      <c r="S259" t="s">
        <v>25</v>
      </c>
    </row>
    <row r="260" spans="1:19" x14ac:dyDescent="0.25">
      <c r="A260">
        <v>259</v>
      </c>
      <c r="B260" t="s">
        <v>28</v>
      </c>
      <c r="C260">
        <v>45</v>
      </c>
      <c r="D260" t="str">
        <f t="shared" si="24"/>
        <v>40's</v>
      </c>
      <c r="E260" t="s">
        <v>26</v>
      </c>
      <c r="F260">
        <v>6.6</v>
      </c>
      <c r="G260" t="str">
        <f t="shared" si="25"/>
        <v>Low</v>
      </c>
      <c r="H260">
        <v>7</v>
      </c>
      <c r="I260" t="str">
        <f t="shared" si="26"/>
        <v>Good</v>
      </c>
      <c r="J260">
        <v>45</v>
      </c>
      <c r="K260" s="1">
        <f t="shared" si="27"/>
        <v>1.875</v>
      </c>
      <c r="L260" s="1" t="str">
        <f t="shared" si="28"/>
        <v>Active</v>
      </c>
      <c r="M260">
        <v>4</v>
      </c>
      <c r="N260" t="s">
        <v>15</v>
      </c>
      <c r="O260" t="s">
        <v>50</v>
      </c>
      <c r="P260">
        <v>65</v>
      </c>
      <c r="Q260">
        <v>6000</v>
      </c>
      <c r="R260" t="str">
        <f t="shared" si="29"/>
        <v>Half Achieved</v>
      </c>
      <c r="S260" t="s">
        <v>25</v>
      </c>
    </row>
    <row r="261" spans="1:19" x14ac:dyDescent="0.25">
      <c r="A261">
        <v>260</v>
      </c>
      <c r="B261" t="s">
        <v>28</v>
      </c>
      <c r="C261">
        <v>45</v>
      </c>
      <c r="D261" t="str">
        <f t="shared" si="24"/>
        <v>40's</v>
      </c>
      <c r="E261" t="s">
        <v>26</v>
      </c>
      <c r="F261">
        <v>6.6</v>
      </c>
      <c r="G261" t="str">
        <f t="shared" si="25"/>
        <v>Low</v>
      </c>
      <c r="H261">
        <v>7</v>
      </c>
      <c r="I261" t="str">
        <f t="shared" si="26"/>
        <v>Good</v>
      </c>
      <c r="J261">
        <v>45</v>
      </c>
      <c r="K261" s="1">
        <f t="shared" si="27"/>
        <v>1.875</v>
      </c>
      <c r="L261" s="1" t="str">
        <f t="shared" si="28"/>
        <v>Active</v>
      </c>
      <c r="M261">
        <v>4</v>
      </c>
      <c r="N261" t="s">
        <v>15</v>
      </c>
      <c r="O261" t="s">
        <v>50</v>
      </c>
      <c r="P261">
        <v>65</v>
      </c>
      <c r="Q261">
        <v>6000</v>
      </c>
      <c r="R261" t="str">
        <f t="shared" si="29"/>
        <v>Half Achieved</v>
      </c>
      <c r="S261" t="s">
        <v>25</v>
      </c>
    </row>
    <row r="262" spans="1:19" x14ac:dyDescent="0.25">
      <c r="A262">
        <v>261</v>
      </c>
      <c r="B262" t="s">
        <v>28</v>
      </c>
      <c r="C262">
        <v>45</v>
      </c>
      <c r="D262" t="str">
        <f t="shared" si="24"/>
        <v>40's</v>
      </c>
      <c r="E262" t="s">
        <v>26</v>
      </c>
      <c r="F262">
        <v>6.6</v>
      </c>
      <c r="G262" t="str">
        <f t="shared" si="25"/>
        <v>Low</v>
      </c>
      <c r="H262">
        <v>7</v>
      </c>
      <c r="I262" t="str">
        <f t="shared" si="26"/>
        <v>Good</v>
      </c>
      <c r="J262">
        <v>45</v>
      </c>
      <c r="K262" s="1">
        <f t="shared" si="27"/>
        <v>1.875</v>
      </c>
      <c r="L262" s="1" t="str">
        <f t="shared" si="28"/>
        <v>Active</v>
      </c>
      <c r="M262">
        <v>4</v>
      </c>
      <c r="N262" t="s">
        <v>15</v>
      </c>
      <c r="O262" t="s">
        <v>50</v>
      </c>
      <c r="P262">
        <v>65</v>
      </c>
      <c r="Q262">
        <v>6000</v>
      </c>
      <c r="R262" t="str">
        <f t="shared" si="29"/>
        <v>Half Achieved</v>
      </c>
      <c r="S262" t="s">
        <v>25</v>
      </c>
    </row>
    <row r="263" spans="1:19" x14ac:dyDescent="0.25">
      <c r="A263">
        <v>262</v>
      </c>
      <c r="B263" t="s">
        <v>28</v>
      </c>
      <c r="C263">
        <v>45</v>
      </c>
      <c r="D263" t="str">
        <f t="shared" si="24"/>
        <v>40's</v>
      </c>
      <c r="E263" t="s">
        <v>26</v>
      </c>
      <c r="F263">
        <v>6.6</v>
      </c>
      <c r="G263" t="str">
        <f t="shared" si="25"/>
        <v>Low</v>
      </c>
      <c r="H263">
        <v>7</v>
      </c>
      <c r="I263" t="str">
        <f t="shared" si="26"/>
        <v>Good</v>
      </c>
      <c r="J263">
        <v>45</v>
      </c>
      <c r="K263" s="1">
        <f t="shared" si="27"/>
        <v>1.875</v>
      </c>
      <c r="L263" s="1" t="str">
        <f t="shared" si="28"/>
        <v>Active</v>
      </c>
      <c r="M263">
        <v>4</v>
      </c>
      <c r="N263" t="s">
        <v>15</v>
      </c>
      <c r="O263" t="s">
        <v>50</v>
      </c>
      <c r="P263">
        <v>65</v>
      </c>
      <c r="Q263">
        <v>6000</v>
      </c>
      <c r="R263" t="str">
        <f t="shared" si="29"/>
        <v>Half Achieved</v>
      </c>
      <c r="S263" t="s">
        <v>17</v>
      </c>
    </row>
    <row r="264" spans="1:19" x14ac:dyDescent="0.25">
      <c r="A264">
        <v>263</v>
      </c>
      <c r="B264" t="s">
        <v>28</v>
      </c>
      <c r="C264">
        <v>45</v>
      </c>
      <c r="D264" t="str">
        <f t="shared" si="24"/>
        <v>40's</v>
      </c>
      <c r="E264" t="s">
        <v>26</v>
      </c>
      <c r="F264">
        <v>6.6</v>
      </c>
      <c r="G264" t="str">
        <f t="shared" si="25"/>
        <v>Low</v>
      </c>
      <c r="H264">
        <v>7</v>
      </c>
      <c r="I264" t="str">
        <f t="shared" si="26"/>
        <v>Good</v>
      </c>
      <c r="J264">
        <v>45</v>
      </c>
      <c r="K264" s="1">
        <f t="shared" si="27"/>
        <v>1.875</v>
      </c>
      <c r="L264" s="1" t="str">
        <f t="shared" si="28"/>
        <v>Active</v>
      </c>
      <c r="M264">
        <v>4</v>
      </c>
      <c r="N264" t="s">
        <v>15</v>
      </c>
      <c r="O264" t="s">
        <v>50</v>
      </c>
      <c r="P264">
        <v>65</v>
      </c>
      <c r="Q264">
        <v>6000</v>
      </c>
      <c r="R264" t="str">
        <f t="shared" si="29"/>
        <v>Half Achieved</v>
      </c>
      <c r="S264" t="s">
        <v>17</v>
      </c>
    </row>
    <row r="265" spans="1:19" x14ac:dyDescent="0.25">
      <c r="A265">
        <v>264</v>
      </c>
      <c r="B265" t="s">
        <v>28</v>
      </c>
      <c r="C265">
        <v>45</v>
      </c>
      <c r="D265" t="str">
        <f t="shared" si="24"/>
        <v>40's</v>
      </c>
      <c r="E265" t="s">
        <v>52</v>
      </c>
      <c r="F265">
        <v>6.9</v>
      </c>
      <c r="G265" t="str">
        <f t="shared" si="25"/>
        <v>Low</v>
      </c>
      <c r="H265">
        <v>7</v>
      </c>
      <c r="I265" t="str">
        <f t="shared" si="26"/>
        <v>Good</v>
      </c>
      <c r="J265">
        <v>55</v>
      </c>
      <c r="K265" s="1">
        <f t="shared" si="27"/>
        <v>2.2916666666666665</v>
      </c>
      <c r="L265" s="1" t="str">
        <f t="shared" si="28"/>
        <v>Highly Active</v>
      </c>
      <c r="M265">
        <v>5</v>
      </c>
      <c r="N265" t="s">
        <v>15</v>
      </c>
      <c r="O265" t="s">
        <v>48</v>
      </c>
      <c r="P265">
        <v>75</v>
      </c>
      <c r="Q265">
        <v>5500</v>
      </c>
      <c r="R265" t="str">
        <f t="shared" si="29"/>
        <v>Half Achieved</v>
      </c>
      <c r="S265" t="s">
        <v>17</v>
      </c>
    </row>
    <row r="266" spans="1:19" x14ac:dyDescent="0.25">
      <c r="A266">
        <v>265</v>
      </c>
      <c r="B266" t="s">
        <v>13</v>
      </c>
      <c r="C266">
        <v>48</v>
      </c>
      <c r="D266" t="str">
        <f t="shared" si="24"/>
        <v>40's</v>
      </c>
      <c r="E266" t="s">
        <v>18</v>
      </c>
      <c r="F266">
        <v>7.3</v>
      </c>
      <c r="G266" t="str">
        <f t="shared" si="25"/>
        <v>Good</v>
      </c>
      <c r="H266">
        <v>7</v>
      </c>
      <c r="I266" t="str">
        <f t="shared" si="26"/>
        <v>Good</v>
      </c>
      <c r="J266">
        <v>65</v>
      </c>
      <c r="K266" s="1">
        <f t="shared" si="27"/>
        <v>2.7083333333333335</v>
      </c>
      <c r="L266" s="1" t="str">
        <f t="shared" si="28"/>
        <v>Highly Active</v>
      </c>
      <c r="M266">
        <v>5</v>
      </c>
      <c r="N266" t="s">
        <v>22</v>
      </c>
      <c r="O266" t="s">
        <v>53</v>
      </c>
      <c r="P266">
        <v>83</v>
      </c>
      <c r="Q266">
        <v>3500</v>
      </c>
      <c r="R266" t="str">
        <f t="shared" si="29"/>
        <v>Partially Achieved</v>
      </c>
      <c r="S266" t="s">
        <v>25</v>
      </c>
    </row>
    <row r="267" spans="1:19" x14ac:dyDescent="0.25">
      <c r="A267">
        <v>266</v>
      </c>
      <c r="B267" t="s">
        <v>28</v>
      </c>
      <c r="C267">
        <v>48</v>
      </c>
      <c r="D267" t="str">
        <f t="shared" si="24"/>
        <v>40's</v>
      </c>
      <c r="E267" t="s">
        <v>29</v>
      </c>
      <c r="F267">
        <v>5.9</v>
      </c>
      <c r="G267" t="str">
        <f t="shared" si="25"/>
        <v>Very low</v>
      </c>
      <c r="H267">
        <v>6</v>
      </c>
      <c r="I267" t="str">
        <f t="shared" si="26"/>
        <v>Good</v>
      </c>
      <c r="J267">
        <v>90</v>
      </c>
      <c r="K267" s="1">
        <f t="shared" si="27"/>
        <v>3.75</v>
      </c>
      <c r="L267" s="1" t="str">
        <f t="shared" si="28"/>
        <v>Highly Active</v>
      </c>
      <c r="M267">
        <v>8</v>
      </c>
      <c r="N267" t="s">
        <v>15</v>
      </c>
      <c r="O267" t="s">
        <v>54</v>
      </c>
      <c r="P267">
        <v>75</v>
      </c>
      <c r="Q267">
        <v>10000</v>
      </c>
      <c r="R267" t="str">
        <f t="shared" si="29"/>
        <v>Steps Achieved</v>
      </c>
      <c r="S267" t="s">
        <v>24</v>
      </c>
    </row>
    <row r="268" spans="1:19" x14ac:dyDescent="0.25">
      <c r="A268">
        <v>267</v>
      </c>
      <c r="B268" t="s">
        <v>13</v>
      </c>
      <c r="C268">
        <v>48</v>
      </c>
      <c r="D268" t="str">
        <f t="shared" si="24"/>
        <v>40's</v>
      </c>
      <c r="E268" t="s">
        <v>18</v>
      </c>
      <c r="F268">
        <v>7.3</v>
      </c>
      <c r="G268" t="str">
        <f t="shared" si="25"/>
        <v>Good</v>
      </c>
      <c r="H268">
        <v>7</v>
      </c>
      <c r="I268" t="str">
        <f t="shared" si="26"/>
        <v>Good</v>
      </c>
      <c r="J268">
        <v>65</v>
      </c>
      <c r="K268" s="1">
        <f t="shared" si="27"/>
        <v>2.7083333333333335</v>
      </c>
      <c r="L268" s="1" t="str">
        <f t="shared" si="28"/>
        <v>Highly Active</v>
      </c>
      <c r="M268">
        <v>5</v>
      </c>
      <c r="N268" t="s">
        <v>22</v>
      </c>
      <c r="O268" t="s">
        <v>53</v>
      </c>
      <c r="P268">
        <v>83</v>
      </c>
      <c r="Q268">
        <v>3500</v>
      </c>
      <c r="R268" t="str">
        <f t="shared" si="29"/>
        <v>Partially Achieved</v>
      </c>
      <c r="S268" t="s">
        <v>25</v>
      </c>
    </row>
    <row r="269" spans="1:19" x14ac:dyDescent="0.25">
      <c r="A269">
        <v>268</v>
      </c>
      <c r="B269" t="s">
        <v>28</v>
      </c>
      <c r="C269">
        <v>49</v>
      </c>
      <c r="D269" t="str">
        <f t="shared" si="24"/>
        <v>40's</v>
      </c>
      <c r="E269" t="s">
        <v>29</v>
      </c>
      <c r="F269">
        <v>6.2</v>
      </c>
      <c r="G269" t="str">
        <f t="shared" si="25"/>
        <v>Low</v>
      </c>
      <c r="H269">
        <v>6</v>
      </c>
      <c r="I269" t="str">
        <f t="shared" si="26"/>
        <v>Good</v>
      </c>
      <c r="J269">
        <v>90</v>
      </c>
      <c r="K269" s="1">
        <f t="shared" si="27"/>
        <v>3.75</v>
      </c>
      <c r="L269" s="1" t="str">
        <f t="shared" si="28"/>
        <v>Highly Active</v>
      </c>
      <c r="M269">
        <v>8</v>
      </c>
      <c r="N269" t="s">
        <v>15</v>
      </c>
      <c r="O269" t="s">
        <v>54</v>
      </c>
      <c r="P269">
        <v>75</v>
      </c>
      <c r="Q269">
        <v>10000</v>
      </c>
      <c r="R269" t="str">
        <f t="shared" si="29"/>
        <v>Steps Achieved</v>
      </c>
      <c r="S269" t="s">
        <v>17</v>
      </c>
    </row>
    <row r="270" spans="1:19" x14ac:dyDescent="0.25">
      <c r="A270">
        <v>269</v>
      </c>
      <c r="B270" t="s">
        <v>28</v>
      </c>
      <c r="C270">
        <v>49</v>
      </c>
      <c r="D270" t="str">
        <f t="shared" si="24"/>
        <v>40's</v>
      </c>
      <c r="E270" t="s">
        <v>29</v>
      </c>
      <c r="F270">
        <v>6</v>
      </c>
      <c r="G270" t="str">
        <f t="shared" si="25"/>
        <v>Low</v>
      </c>
      <c r="H270">
        <v>6</v>
      </c>
      <c r="I270" t="str">
        <f t="shared" si="26"/>
        <v>Good</v>
      </c>
      <c r="J270">
        <v>90</v>
      </c>
      <c r="K270" s="1">
        <f t="shared" si="27"/>
        <v>3.75</v>
      </c>
      <c r="L270" s="1" t="str">
        <f t="shared" si="28"/>
        <v>Highly Active</v>
      </c>
      <c r="M270">
        <v>8</v>
      </c>
      <c r="N270" t="s">
        <v>15</v>
      </c>
      <c r="O270" t="s">
        <v>54</v>
      </c>
      <c r="P270">
        <v>75</v>
      </c>
      <c r="Q270">
        <v>10000</v>
      </c>
      <c r="R270" t="str">
        <f t="shared" si="29"/>
        <v>Steps Achieved</v>
      </c>
      <c r="S270" t="s">
        <v>24</v>
      </c>
    </row>
    <row r="271" spans="1:19" x14ac:dyDescent="0.25">
      <c r="A271">
        <v>270</v>
      </c>
      <c r="B271" t="s">
        <v>28</v>
      </c>
      <c r="C271">
        <v>49</v>
      </c>
      <c r="D271" t="str">
        <f t="shared" si="24"/>
        <v>40's</v>
      </c>
      <c r="E271" t="s">
        <v>29</v>
      </c>
      <c r="F271">
        <v>6.1</v>
      </c>
      <c r="G271" t="str">
        <f t="shared" si="25"/>
        <v>Low</v>
      </c>
      <c r="H271">
        <v>6</v>
      </c>
      <c r="I271" t="str">
        <f t="shared" si="26"/>
        <v>Good</v>
      </c>
      <c r="J271">
        <v>90</v>
      </c>
      <c r="K271" s="1">
        <f t="shared" si="27"/>
        <v>3.75</v>
      </c>
      <c r="L271" s="1" t="str">
        <f t="shared" si="28"/>
        <v>Highly Active</v>
      </c>
      <c r="M271">
        <v>8</v>
      </c>
      <c r="N271" t="s">
        <v>15</v>
      </c>
      <c r="O271" t="s">
        <v>54</v>
      </c>
      <c r="P271">
        <v>75</v>
      </c>
      <c r="Q271">
        <v>10000</v>
      </c>
      <c r="R271" t="str">
        <f t="shared" si="29"/>
        <v>Steps Achieved</v>
      </c>
      <c r="S271" t="s">
        <v>24</v>
      </c>
    </row>
    <row r="272" spans="1:19" x14ac:dyDescent="0.25">
      <c r="A272">
        <v>271</v>
      </c>
      <c r="B272" t="s">
        <v>28</v>
      </c>
      <c r="C272">
        <v>49</v>
      </c>
      <c r="D272" t="str">
        <f t="shared" si="24"/>
        <v>40's</v>
      </c>
      <c r="E272" t="s">
        <v>29</v>
      </c>
      <c r="F272">
        <v>6.1</v>
      </c>
      <c r="G272" t="str">
        <f t="shared" si="25"/>
        <v>Low</v>
      </c>
      <c r="H272">
        <v>6</v>
      </c>
      <c r="I272" t="str">
        <f t="shared" si="26"/>
        <v>Good</v>
      </c>
      <c r="J272">
        <v>90</v>
      </c>
      <c r="K272" s="1">
        <f t="shared" si="27"/>
        <v>3.75</v>
      </c>
      <c r="L272" s="1" t="str">
        <f t="shared" si="28"/>
        <v>Highly Active</v>
      </c>
      <c r="M272">
        <v>8</v>
      </c>
      <c r="N272" t="s">
        <v>15</v>
      </c>
      <c r="O272" t="s">
        <v>54</v>
      </c>
      <c r="P272">
        <v>75</v>
      </c>
      <c r="Q272">
        <v>10000</v>
      </c>
      <c r="R272" t="str">
        <f t="shared" si="29"/>
        <v>Steps Achieved</v>
      </c>
      <c r="S272" t="s">
        <v>24</v>
      </c>
    </row>
    <row r="273" spans="1:19" x14ac:dyDescent="0.25">
      <c r="A273">
        <v>272</v>
      </c>
      <c r="B273" t="s">
        <v>28</v>
      </c>
      <c r="C273">
        <v>49</v>
      </c>
      <c r="D273" t="str">
        <f t="shared" si="24"/>
        <v>40's</v>
      </c>
      <c r="E273" t="s">
        <v>29</v>
      </c>
      <c r="F273">
        <v>6.1</v>
      </c>
      <c r="G273" t="str">
        <f t="shared" si="25"/>
        <v>Low</v>
      </c>
      <c r="H273">
        <v>6</v>
      </c>
      <c r="I273" t="str">
        <f t="shared" si="26"/>
        <v>Good</v>
      </c>
      <c r="J273">
        <v>90</v>
      </c>
      <c r="K273" s="1">
        <f t="shared" si="27"/>
        <v>3.75</v>
      </c>
      <c r="L273" s="1" t="str">
        <f t="shared" si="28"/>
        <v>Highly Active</v>
      </c>
      <c r="M273">
        <v>8</v>
      </c>
      <c r="N273" t="s">
        <v>15</v>
      </c>
      <c r="O273" t="s">
        <v>54</v>
      </c>
      <c r="P273">
        <v>75</v>
      </c>
      <c r="Q273">
        <v>10000</v>
      </c>
      <c r="R273" t="str">
        <f t="shared" si="29"/>
        <v>Steps Achieved</v>
      </c>
      <c r="S273" t="s">
        <v>24</v>
      </c>
    </row>
    <row r="274" spans="1:19" x14ac:dyDescent="0.25">
      <c r="A274">
        <v>273</v>
      </c>
      <c r="B274" t="s">
        <v>28</v>
      </c>
      <c r="C274">
        <v>49</v>
      </c>
      <c r="D274" t="str">
        <f t="shared" si="24"/>
        <v>40's</v>
      </c>
      <c r="E274" t="s">
        <v>29</v>
      </c>
      <c r="F274">
        <v>6.1</v>
      </c>
      <c r="G274" t="str">
        <f t="shared" si="25"/>
        <v>Low</v>
      </c>
      <c r="H274">
        <v>6</v>
      </c>
      <c r="I274" t="str">
        <f t="shared" si="26"/>
        <v>Good</v>
      </c>
      <c r="J274">
        <v>90</v>
      </c>
      <c r="K274" s="1">
        <f t="shared" si="27"/>
        <v>3.75</v>
      </c>
      <c r="L274" s="1" t="str">
        <f t="shared" si="28"/>
        <v>Highly Active</v>
      </c>
      <c r="M274">
        <v>8</v>
      </c>
      <c r="N274" t="s">
        <v>15</v>
      </c>
      <c r="O274" t="s">
        <v>54</v>
      </c>
      <c r="P274">
        <v>75</v>
      </c>
      <c r="Q274">
        <v>10000</v>
      </c>
      <c r="R274" t="str">
        <f t="shared" si="29"/>
        <v>Steps Achieved</v>
      </c>
      <c r="S274" t="s">
        <v>24</v>
      </c>
    </row>
    <row r="275" spans="1:19" x14ac:dyDescent="0.25">
      <c r="A275">
        <v>274</v>
      </c>
      <c r="B275" t="s">
        <v>28</v>
      </c>
      <c r="C275">
        <v>49</v>
      </c>
      <c r="D275" t="str">
        <f t="shared" si="24"/>
        <v>40's</v>
      </c>
      <c r="E275" t="s">
        <v>29</v>
      </c>
      <c r="F275">
        <v>6.2</v>
      </c>
      <c r="G275" t="str">
        <f t="shared" si="25"/>
        <v>Low</v>
      </c>
      <c r="H275">
        <v>6</v>
      </c>
      <c r="I275" t="str">
        <f t="shared" si="26"/>
        <v>Good</v>
      </c>
      <c r="J275">
        <v>90</v>
      </c>
      <c r="K275" s="1">
        <f t="shared" si="27"/>
        <v>3.75</v>
      </c>
      <c r="L275" s="1" t="str">
        <f t="shared" si="28"/>
        <v>Highly Active</v>
      </c>
      <c r="M275">
        <v>8</v>
      </c>
      <c r="N275" t="s">
        <v>15</v>
      </c>
      <c r="O275" t="s">
        <v>54</v>
      </c>
      <c r="P275">
        <v>75</v>
      </c>
      <c r="Q275">
        <v>10000</v>
      </c>
      <c r="R275" t="str">
        <f t="shared" si="29"/>
        <v>Steps Achieved</v>
      </c>
      <c r="S275" t="s">
        <v>24</v>
      </c>
    </row>
    <row r="276" spans="1:19" x14ac:dyDescent="0.25">
      <c r="A276">
        <v>275</v>
      </c>
      <c r="B276" t="s">
        <v>28</v>
      </c>
      <c r="C276">
        <v>49</v>
      </c>
      <c r="D276" t="str">
        <f t="shared" si="24"/>
        <v>40's</v>
      </c>
      <c r="E276" t="s">
        <v>29</v>
      </c>
      <c r="F276">
        <v>6.2</v>
      </c>
      <c r="G276" t="str">
        <f t="shared" si="25"/>
        <v>Low</v>
      </c>
      <c r="H276">
        <v>6</v>
      </c>
      <c r="I276" t="str">
        <f t="shared" si="26"/>
        <v>Good</v>
      </c>
      <c r="J276">
        <v>90</v>
      </c>
      <c r="K276" s="1">
        <f t="shared" si="27"/>
        <v>3.75</v>
      </c>
      <c r="L276" s="1" t="str">
        <f t="shared" si="28"/>
        <v>Highly Active</v>
      </c>
      <c r="M276">
        <v>8</v>
      </c>
      <c r="N276" t="s">
        <v>15</v>
      </c>
      <c r="O276" t="s">
        <v>54</v>
      </c>
      <c r="P276">
        <v>75</v>
      </c>
      <c r="Q276">
        <v>10000</v>
      </c>
      <c r="R276" t="str">
        <f t="shared" si="29"/>
        <v>Steps Achieved</v>
      </c>
      <c r="S276" t="s">
        <v>24</v>
      </c>
    </row>
    <row r="277" spans="1:19" x14ac:dyDescent="0.25">
      <c r="A277">
        <v>276</v>
      </c>
      <c r="B277" t="s">
        <v>28</v>
      </c>
      <c r="C277">
        <v>49</v>
      </c>
      <c r="D277" t="str">
        <f t="shared" si="24"/>
        <v>40's</v>
      </c>
      <c r="E277" t="s">
        <v>29</v>
      </c>
      <c r="F277">
        <v>6.2</v>
      </c>
      <c r="G277" t="str">
        <f t="shared" si="25"/>
        <v>Low</v>
      </c>
      <c r="H277">
        <v>6</v>
      </c>
      <c r="I277" t="str">
        <f t="shared" si="26"/>
        <v>Good</v>
      </c>
      <c r="J277">
        <v>90</v>
      </c>
      <c r="K277" s="1">
        <f t="shared" si="27"/>
        <v>3.75</v>
      </c>
      <c r="L277" s="1" t="str">
        <f t="shared" si="28"/>
        <v>Highly Active</v>
      </c>
      <c r="M277">
        <v>8</v>
      </c>
      <c r="N277" t="s">
        <v>15</v>
      </c>
      <c r="O277" t="s">
        <v>54</v>
      </c>
      <c r="P277">
        <v>75</v>
      </c>
      <c r="Q277">
        <v>10000</v>
      </c>
      <c r="R277" t="str">
        <f t="shared" si="29"/>
        <v>Steps Achieved</v>
      </c>
      <c r="S277" t="s">
        <v>24</v>
      </c>
    </row>
    <row r="278" spans="1:19" x14ac:dyDescent="0.25">
      <c r="A278">
        <v>277</v>
      </c>
      <c r="B278" t="s">
        <v>13</v>
      </c>
      <c r="C278">
        <v>49</v>
      </c>
      <c r="D278" t="str">
        <f t="shared" si="24"/>
        <v>40's</v>
      </c>
      <c r="E278" t="s">
        <v>18</v>
      </c>
      <c r="F278">
        <v>8.1</v>
      </c>
      <c r="G278" t="str">
        <f t="shared" si="25"/>
        <v>Good</v>
      </c>
      <c r="H278">
        <v>9</v>
      </c>
      <c r="I278" t="str">
        <f t="shared" si="26"/>
        <v>Good</v>
      </c>
      <c r="J278">
        <v>85</v>
      </c>
      <c r="K278" s="1">
        <f t="shared" si="27"/>
        <v>3.5416666666666665</v>
      </c>
      <c r="L278" s="1" t="str">
        <f t="shared" si="28"/>
        <v>Highly Active</v>
      </c>
      <c r="M278">
        <v>3</v>
      </c>
      <c r="N278" t="s">
        <v>22</v>
      </c>
      <c r="O278" t="s">
        <v>55</v>
      </c>
      <c r="P278">
        <v>86</v>
      </c>
      <c r="Q278">
        <v>3700</v>
      </c>
      <c r="R278" t="str">
        <f t="shared" si="29"/>
        <v>Partially Achieved</v>
      </c>
      <c r="S278" t="s">
        <v>24</v>
      </c>
    </row>
    <row r="279" spans="1:19" x14ac:dyDescent="0.25">
      <c r="A279">
        <v>278</v>
      </c>
      <c r="B279" t="s">
        <v>13</v>
      </c>
      <c r="C279">
        <v>49</v>
      </c>
      <c r="D279" t="str">
        <f t="shared" si="24"/>
        <v>40's</v>
      </c>
      <c r="E279" t="s">
        <v>18</v>
      </c>
      <c r="F279">
        <v>8.1</v>
      </c>
      <c r="G279" t="str">
        <f t="shared" si="25"/>
        <v>Good</v>
      </c>
      <c r="H279">
        <v>9</v>
      </c>
      <c r="I279" t="str">
        <f t="shared" si="26"/>
        <v>Good</v>
      </c>
      <c r="J279">
        <v>85</v>
      </c>
      <c r="K279" s="1">
        <f t="shared" si="27"/>
        <v>3.5416666666666665</v>
      </c>
      <c r="L279" s="1" t="str">
        <f t="shared" si="28"/>
        <v>Highly Active</v>
      </c>
      <c r="M279">
        <v>3</v>
      </c>
      <c r="N279" t="s">
        <v>22</v>
      </c>
      <c r="O279" t="s">
        <v>55</v>
      </c>
      <c r="P279">
        <v>86</v>
      </c>
      <c r="Q279">
        <v>3700</v>
      </c>
      <c r="R279" t="str">
        <f t="shared" si="29"/>
        <v>Partially Achieved</v>
      </c>
      <c r="S279" t="s">
        <v>24</v>
      </c>
    </row>
    <row r="280" spans="1:19" x14ac:dyDescent="0.25">
      <c r="A280">
        <v>279</v>
      </c>
      <c r="B280" t="s">
        <v>28</v>
      </c>
      <c r="C280">
        <v>50</v>
      </c>
      <c r="D280" t="str">
        <f t="shared" si="24"/>
        <v>50's</v>
      </c>
      <c r="E280" t="s">
        <v>29</v>
      </c>
      <c r="F280">
        <v>6.1</v>
      </c>
      <c r="G280" t="str">
        <f t="shared" si="25"/>
        <v>Low</v>
      </c>
      <c r="H280">
        <v>6</v>
      </c>
      <c r="I280" t="str">
        <f t="shared" si="26"/>
        <v>Good</v>
      </c>
      <c r="J280">
        <v>90</v>
      </c>
      <c r="K280" s="1">
        <f t="shared" si="27"/>
        <v>3.75</v>
      </c>
      <c r="L280" s="1" t="str">
        <f t="shared" si="28"/>
        <v>Highly Active</v>
      </c>
      <c r="M280">
        <v>8</v>
      </c>
      <c r="N280" t="s">
        <v>15</v>
      </c>
      <c r="O280" t="s">
        <v>54</v>
      </c>
      <c r="P280">
        <v>75</v>
      </c>
      <c r="Q280">
        <v>10000</v>
      </c>
      <c r="R280" t="str">
        <f t="shared" si="29"/>
        <v>Steps Achieved</v>
      </c>
      <c r="S280" t="s">
        <v>25</v>
      </c>
    </row>
    <row r="281" spans="1:19" x14ac:dyDescent="0.25">
      <c r="A281">
        <v>280</v>
      </c>
      <c r="B281" t="s">
        <v>28</v>
      </c>
      <c r="C281">
        <v>50</v>
      </c>
      <c r="D281" t="str">
        <f t="shared" si="24"/>
        <v>50's</v>
      </c>
      <c r="E281" t="s">
        <v>33</v>
      </c>
      <c r="F281">
        <v>8.3000000000000007</v>
      </c>
      <c r="G281" t="str">
        <f t="shared" si="25"/>
        <v>Good</v>
      </c>
      <c r="H281">
        <v>9</v>
      </c>
      <c r="I281" t="str">
        <f t="shared" si="26"/>
        <v>Good</v>
      </c>
      <c r="J281">
        <v>30</v>
      </c>
      <c r="K281" s="1">
        <f t="shared" si="27"/>
        <v>1.25</v>
      </c>
      <c r="L281" s="1" t="str">
        <f t="shared" si="28"/>
        <v>Sedentary</v>
      </c>
      <c r="M281">
        <v>3</v>
      </c>
      <c r="N281" t="s">
        <v>19</v>
      </c>
      <c r="O281" t="s">
        <v>20</v>
      </c>
      <c r="P281">
        <v>65</v>
      </c>
      <c r="Q281">
        <v>5000</v>
      </c>
      <c r="R281" t="str">
        <f t="shared" si="29"/>
        <v>Half Achieved</v>
      </c>
      <c r="S281" t="s">
        <v>17</v>
      </c>
    </row>
    <row r="282" spans="1:19" x14ac:dyDescent="0.25">
      <c r="A282">
        <v>281</v>
      </c>
      <c r="B282" t="s">
        <v>28</v>
      </c>
      <c r="C282">
        <v>50</v>
      </c>
      <c r="D282" t="str">
        <f t="shared" si="24"/>
        <v>50's</v>
      </c>
      <c r="E282" t="s">
        <v>29</v>
      </c>
      <c r="F282">
        <v>6</v>
      </c>
      <c r="G282" t="str">
        <f t="shared" si="25"/>
        <v>Low</v>
      </c>
      <c r="H282">
        <v>6</v>
      </c>
      <c r="I282" t="str">
        <f t="shared" si="26"/>
        <v>Good</v>
      </c>
      <c r="J282">
        <v>90</v>
      </c>
      <c r="K282" s="1">
        <f t="shared" si="27"/>
        <v>3.75</v>
      </c>
      <c r="L282" s="1" t="str">
        <f t="shared" si="28"/>
        <v>Highly Active</v>
      </c>
      <c r="M282">
        <v>8</v>
      </c>
      <c r="N282" t="s">
        <v>15</v>
      </c>
      <c r="O282" t="s">
        <v>54</v>
      </c>
      <c r="P282">
        <v>75</v>
      </c>
      <c r="Q282">
        <v>10000</v>
      </c>
      <c r="R282" t="str">
        <f t="shared" si="29"/>
        <v>Steps Achieved</v>
      </c>
      <c r="S282" t="s">
        <v>17</v>
      </c>
    </row>
    <row r="283" spans="1:19" x14ac:dyDescent="0.25">
      <c r="A283">
        <v>282</v>
      </c>
      <c r="B283" t="s">
        <v>28</v>
      </c>
      <c r="C283">
        <v>50</v>
      </c>
      <c r="D283" t="str">
        <f t="shared" si="24"/>
        <v>50's</v>
      </c>
      <c r="E283" t="s">
        <v>29</v>
      </c>
      <c r="F283">
        <v>6.1</v>
      </c>
      <c r="G283" t="str">
        <f t="shared" si="25"/>
        <v>Low</v>
      </c>
      <c r="H283">
        <v>6</v>
      </c>
      <c r="I283" t="str">
        <f t="shared" si="26"/>
        <v>Good</v>
      </c>
      <c r="J283">
        <v>90</v>
      </c>
      <c r="K283" s="1">
        <f t="shared" si="27"/>
        <v>3.75</v>
      </c>
      <c r="L283" s="1" t="str">
        <f t="shared" si="28"/>
        <v>Highly Active</v>
      </c>
      <c r="M283">
        <v>8</v>
      </c>
      <c r="N283" t="s">
        <v>15</v>
      </c>
      <c r="O283" t="s">
        <v>54</v>
      </c>
      <c r="P283">
        <v>75</v>
      </c>
      <c r="Q283">
        <v>10000</v>
      </c>
      <c r="R283" t="str">
        <f t="shared" si="29"/>
        <v>Steps Achieved</v>
      </c>
      <c r="S283" t="s">
        <v>24</v>
      </c>
    </row>
    <row r="284" spans="1:19" x14ac:dyDescent="0.25">
      <c r="A284">
        <v>283</v>
      </c>
      <c r="B284" t="s">
        <v>28</v>
      </c>
      <c r="C284">
        <v>50</v>
      </c>
      <c r="D284" t="str">
        <f t="shared" si="24"/>
        <v>50's</v>
      </c>
      <c r="E284" t="s">
        <v>29</v>
      </c>
      <c r="F284">
        <v>6</v>
      </c>
      <c r="G284" t="str">
        <f t="shared" si="25"/>
        <v>Low</v>
      </c>
      <c r="H284">
        <v>6</v>
      </c>
      <c r="I284" t="str">
        <f t="shared" si="26"/>
        <v>Good</v>
      </c>
      <c r="J284">
        <v>90</v>
      </c>
      <c r="K284" s="1">
        <f t="shared" si="27"/>
        <v>3.75</v>
      </c>
      <c r="L284" s="1" t="str">
        <f t="shared" si="28"/>
        <v>Highly Active</v>
      </c>
      <c r="M284">
        <v>8</v>
      </c>
      <c r="N284" t="s">
        <v>15</v>
      </c>
      <c r="O284" t="s">
        <v>54</v>
      </c>
      <c r="P284">
        <v>75</v>
      </c>
      <c r="Q284">
        <v>10000</v>
      </c>
      <c r="R284" t="str">
        <f t="shared" si="29"/>
        <v>Steps Achieved</v>
      </c>
      <c r="S284" t="s">
        <v>24</v>
      </c>
    </row>
    <row r="285" spans="1:19" x14ac:dyDescent="0.25">
      <c r="A285">
        <v>284</v>
      </c>
      <c r="B285" t="s">
        <v>28</v>
      </c>
      <c r="C285">
        <v>50</v>
      </c>
      <c r="D285" t="str">
        <f t="shared" si="24"/>
        <v>50's</v>
      </c>
      <c r="E285" t="s">
        <v>29</v>
      </c>
      <c r="F285">
        <v>6</v>
      </c>
      <c r="G285" t="str">
        <f t="shared" si="25"/>
        <v>Low</v>
      </c>
      <c r="H285">
        <v>6</v>
      </c>
      <c r="I285" t="str">
        <f t="shared" si="26"/>
        <v>Good</v>
      </c>
      <c r="J285">
        <v>90</v>
      </c>
      <c r="K285" s="1">
        <f t="shared" si="27"/>
        <v>3.75</v>
      </c>
      <c r="L285" s="1" t="str">
        <f t="shared" si="28"/>
        <v>Highly Active</v>
      </c>
      <c r="M285">
        <v>8</v>
      </c>
      <c r="N285" t="s">
        <v>15</v>
      </c>
      <c r="O285" t="s">
        <v>54</v>
      </c>
      <c r="P285">
        <v>75</v>
      </c>
      <c r="Q285">
        <v>10000</v>
      </c>
      <c r="R285" t="str">
        <f t="shared" si="29"/>
        <v>Steps Achieved</v>
      </c>
      <c r="S285" t="s">
        <v>24</v>
      </c>
    </row>
    <row r="286" spans="1:19" x14ac:dyDescent="0.25">
      <c r="A286">
        <v>285</v>
      </c>
      <c r="B286" t="s">
        <v>28</v>
      </c>
      <c r="C286">
        <v>50</v>
      </c>
      <c r="D286" t="str">
        <f t="shared" si="24"/>
        <v>50's</v>
      </c>
      <c r="E286" t="s">
        <v>29</v>
      </c>
      <c r="F286">
        <v>6</v>
      </c>
      <c r="G286" t="str">
        <f t="shared" si="25"/>
        <v>Low</v>
      </c>
      <c r="H286">
        <v>6</v>
      </c>
      <c r="I286" t="str">
        <f t="shared" si="26"/>
        <v>Good</v>
      </c>
      <c r="J286">
        <v>90</v>
      </c>
      <c r="K286" s="1">
        <f t="shared" si="27"/>
        <v>3.75</v>
      </c>
      <c r="L286" s="1" t="str">
        <f t="shared" si="28"/>
        <v>Highly Active</v>
      </c>
      <c r="M286">
        <v>8</v>
      </c>
      <c r="N286" t="s">
        <v>15</v>
      </c>
      <c r="O286" t="s">
        <v>54</v>
      </c>
      <c r="P286">
        <v>75</v>
      </c>
      <c r="Q286">
        <v>10000</v>
      </c>
      <c r="R286" t="str">
        <f t="shared" si="29"/>
        <v>Steps Achieved</v>
      </c>
      <c r="S286" t="s">
        <v>24</v>
      </c>
    </row>
    <row r="287" spans="1:19" x14ac:dyDescent="0.25">
      <c r="A287">
        <v>286</v>
      </c>
      <c r="B287" t="s">
        <v>28</v>
      </c>
      <c r="C287">
        <v>50</v>
      </c>
      <c r="D287" t="str">
        <f t="shared" si="24"/>
        <v>50's</v>
      </c>
      <c r="E287" t="s">
        <v>29</v>
      </c>
      <c r="F287">
        <v>6</v>
      </c>
      <c r="G287" t="str">
        <f t="shared" si="25"/>
        <v>Low</v>
      </c>
      <c r="H287">
        <v>6</v>
      </c>
      <c r="I287" t="str">
        <f t="shared" si="26"/>
        <v>Good</v>
      </c>
      <c r="J287">
        <v>90</v>
      </c>
      <c r="K287" s="1">
        <f t="shared" si="27"/>
        <v>3.75</v>
      </c>
      <c r="L287" s="1" t="str">
        <f t="shared" si="28"/>
        <v>Highly Active</v>
      </c>
      <c r="M287">
        <v>8</v>
      </c>
      <c r="N287" t="s">
        <v>15</v>
      </c>
      <c r="O287" t="s">
        <v>54</v>
      </c>
      <c r="P287">
        <v>75</v>
      </c>
      <c r="Q287">
        <v>10000</v>
      </c>
      <c r="R287" t="str">
        <f t="shared" si="29"/>
        <v>Steps Achieved</v>
      </c>
      <c r="S287" t="s">
        <v>24</v>
      </c>
    </row>
    <row r="288" spans="1:19" x14ac:dyDescent="0.25">
      <c r="A288">
        <v>287</v>
      </c>
      <c r="B288" t="s">
        <v>28</v>
      </c>
      <c r="C288">
        <v>50</v>
      </c>
      <c r="D288" t="str">
        <f t="shared" si="24"/>
        <v>50's</v>
      </c>
      <c r="E288" t="s">
        <v>29</v>
      </c>
      <c r="F288">
        <v>6</v>
      </c>
      <c r="G288" t="str">
        <f t="shared" si="25"/>
        <v>Low</v>
      </c>
      <c r="H288">
        <v>6</v>
      </c>
      <c r="I288" t="str">
        <f t="shared" si="26"/>
        <v>Good</v>
      </c>
      <c r="J288">
        <v>90</v>
      </c>
      <c r="K288" s="1">
        <f t="shared" si="27"/>
        <v>3.75</v>
      </c>
      <c r="L288" s="1" t="str">
        <f t="shared" si="28"/>
        <v>Highly Active</v>
      </c>
      <c r="M288">
        <v>8</v>
      </c>
      <c r="N288" t="s">
        <v>15</v>
      </c>
      <c r="O288" t="s">
        <v>54</v>
      </c>
      <c r="P288">
        <v>75</v>
      </c>
      <c r="Q288">
        <v>10000</v>
      </c>
      <c r="R288" t="str">
        <f t="shared" si="29"/>
        <v>Steps Achieved</v>
      </c>
      <c r="S288" t="s">
        <v>24</v>
      </c>
    </row>
    <row r="289" spans="1:19" x14ac:dyDescent="0.25">
      <c r="A289">
        <v>288</v>
      </c>
      <c r="B289" t="s">
        <v>28</v>
      </c>
      <c r="C289">
        <v>50</v>
      </c>
      <c r="D289" t="str">
        <f t="shared" si="24"/>
        <v>50's</v>
      </c>
      <c r="E289" t="s">
        <v>29</v>
      </c>
      <c r="F289">
        <v>6</v>
      </c>
      <c r="G289" t="str">
        <f t="shared" si="25"/>
        <v>Low</v>
      </c>
      <c r="H289">
        <v>6</v>
      </c>
      <c r="I289" t="str">
        <f t="shared" si="26"/>
        <v>Good</v>
      </c>
      <c r="J289">
        <v>90</v>
      </c>
      <c r="K289" s="1">
        <f t="shared" si="27"/>
        <v>3.75</v>
      </c>
      <c r="L289" s="1" t="str">
        <f t="shared" si="28"/>
        <v>Highly Active</v>
      </c>
      <c r="M289">
        <v>8</v>
      </c>
      <c r="N289" t="s">
        <v>15</v>
      </c>
      <c r="O289" t="s">
        <v>54</v>
      </c>
      <c r="P289">
        <v>75</v>
      </c>
      <c r="Q289">
        <v>10000</v>
      </c>
      <c r="R289" t="str">
        <f t="shared" si="29"/>
        <v>Steps Achieved</v>
      </c>
      <c r="S289" t="s">
        <v>24</v>
      </c>
    </row>
    <row r="290" spans="1:19" x14ac:dyDescent="0.25">
      <c r="A290">
        <v>289</v>
      </c>
      <c r="B290" t="s">
        <v>28</v>
      </c>
      <c r="C290">
        <v>50</v>
      </c>
      <c r="D290" t="str">
        <f t="shared" si="24"/>
        <v>50's</v>
      </c>
      <c r="E290" t="s">
        <v>29</v>
      </c>
      <c r="F290">
        <v>6</v>
      </c>
      <c r="G290" t="str">
        <f t="shared" si="25"/>
        <v>Low</v>
      </c>
      <c r="H290">
        <v>6</v>
      </c>
      <c r="I290" t="str">
        <f t="shared" si="26"/>
        <v>Good</v>
      </c>
      <c r="J290">
        <v>90</v>
      </c>
      <c r="K290" s="1">
        <f t="shared" si="27"/>
        <v>3.75</v>
      </c>
      <c r="L290" s="1" t="str">
        <f t="shared" si="28"/>
        <v>Highly Active</v>
      </c>
      <c r="M290">
        <v>8</v>
      </c>
      <c r="N290" t="s">
        <v>15</v>
      </c>
      <c r="O290" t="s">
        <v>54</v>
      </c>
      <c r="P290">
        <v>75</v>
      </c>
      <c r="Q290">
        <v>10000</v>
      </c>
      <c r="R290" t="str">
        <f t="shared" si="29"/>
        <v>Steps Achieved</v>
      </c>
      <c r="S290" t="s">
        <v>24</v>
      </c>
    </row>
    <row r="291" spans="1:19" x14ac:dyDescent="0.25">
      <c r="A291">
        <v>290</v>
      </c>
      <c r="B291" t="s">
        <v>28</v>
      </c>
      <c r="C291">
        <v>50</v>
      </c>
      <c r="D291" t="str">
        <f t="shared" si="24"/>
        <v>50's</v>
      </c>
      <c r="E291" t="s">
        <v>29</v>
      </c>
      <c r="F291">
        <v>6.1</v>
      </c>
      <c r="G291" t="str">
        <f t="shared" si="25"/>
        <v>Low</v>
      </c>
      <c r="H291">
        <v>6</v>
      </c>
      <c r="I291" t="str">
        <f t="shared" si="26"/>
        <v>Good</v>
      </c>
      <c r="J291">
        <v>90</v>
      </c>
      <c r="K291" s="1">
        <f t="shared" si="27"/>
        <v>3.75</v>
      </c>
      <c r="L291" s="1" t="str">
        <f t="shared" si="28"/>
        <v>Highly Active</v>
      </c>
      <c r="M291">
        <v>8</v>
      </c>
      <c r="N291" t="s">
        <v>15</v>
      </c>
      <c r="O291" t="s">
        <v>54</v>
      </c>
      <c r="P291">
        <v>75</v>
      </c>
      <c r="Q291">
        <v>10000</v>
      </c>
      <c r="R291" t="str">
        <f t="shared" si="29"/>
        <v>Steps Achieved</v>
      </c>
      <c r="S291" t="s">
        <v>24</v>
      </c>
    </row>
    <row r="292" spans="1:19" x14ac:dyDescent="0.25">
      <c r="A292">
        <v>291</v>
      </c>
      <c r="B292" t="s">
        <v>28</v>
      </c>
      <c r="C292">
        <v>50</v>
      </c>
      <c r="D292" t="str">
        <f t="shared" si="24"/>
        <v>50's</v>
      </c>
      <c r="E292" t="s">
        <v>29</v>
      </c>
      <c r="F292">
        <v>6</v>
      </c>
      <c r="G292" t="str">
        <f t="shared" si="25"/>
        <v>Low</v>
      </c>
      <c r="H292">
        <v>6</v>
      </c>
      <c r="I292" t="str">
        <f t="shared" si="26"/>
        <v>Good</v>
      </c>
      <c r="J292">
        <v>90</v>
      </c>
      <c r="K292" s="1">
        <f t="shared" si="27"/>
        <v>3.75</v>
      </c>
      <c r="L292" s="1" t="str">
        <f t="shared" si="28"/>
        <v>Highly Active</v>
      </c>
      <c r="M292">
        <v>8</v>
      </c>
      <c r="N292" t="s">
        <v>15</v>
      </c>
      <c r="O292" t="s">
        <v>54</v>
      </c>
      <c r="P292">
        <v>75</v>
      </c>
      <c r="Q292">
        <v>10000</v>
      </c>
      <c r="R292" t="str">
        <f t="shared" si="29"/>
        <v>Steps Achieved</v>
      </c>
      <c r="S292" t="s">
        <v>24</v>
      </c>
    </row>
    <row r="293" spans="1:19" x14ac:dyDescent="0.25">
      <c r="A293">
        <v>292</v>
      </c>
      <c r="B293" t="s">
        <v>28</v>
      </c>
      <c r="C293">
        <v>50</v>
      </c>
      <c r="D293" t="str">
        <f t="shared" si="24"/>
        <v>50's</v>
      </c>
      <c r="E293" t="s">
        <v>29</v>
      </c>
      <c r="F293">
        <v>6.1</v>
      </c>
      <c r="G293" t="str">
        <f t="shared" si="25"/>
        <v>Low</v>
      </c>
      <c r="H293">
        <v>6</v>
      </c>
      <c r="I293" t="str">
        <f t="shared" si="26"/>
        <v>Good</v>
      </c>
      <c r="J293">
        <v>90</v>
      </c>
      <c r="K293" s="1">
        <f t="shared" si="27"/>
        <v>3.75</v>
      </c>
      <c r="L293" s="1" t="str">
        <f t="shared" si="28"/>
        <v>Highly Active</v>
      </c>
      <c r="M293">
        <v>8</v>
      </c>
      <c r="N293" t="s">
        <v>15</v>
      </c>
      <c r="O293" t="s">
        <v>54</v>
      </c>
      <c r="P293">
        <v>75</v>
      </c>
      <c r="Q293">
        <v>10000</v>
      </c>
      <c r="R293" t="str">
        <f t="shared" si="29"/>
        <v>Steps Achieved</v>
      </c>
      <c r="S293" t="s">
        <v>24</v>
      </c>
    </row>
    <row r="294" spans="1:19" x14ac:dyDescent="0.25">
      <c r="A294">
        <v>293</v>
      </c>
      <c r="B294" t="s">
        <v>28</v>
      </c>
      <c r="C294">
        <v>50</v>
      </c>
      <c r="D294" t="str">
        <f t="shared" si="24"/>
        <v>50's</v>
      </c>
      <c r="E294" t="s">
        <v>29</v>
      </c>
      <c r="F294">
        <v>6.1</v>
      </c>
      <c r="G294" t="str">
        <f t="shared" si="25"/>
        <v>Low</v>
      </c>
      <c r="H294">
        <v>6</v>
      </c>
      <c r="I294" t="str">
        <f t="shared" si="26"/>
        <v>Good</v>
      </c>
      <c r="J294">
        <v>90</v>
      </c>
      <c r="K294" s="1">
        <f t="shared" si="27"/>
        <v>3.75</v>
      </c>
      <c r="L294" s="1" t="str">
        <f t="shared" si="28"/>
        <v>Highly Active</v>
      </c>
      <c r="M294">
        <v>8</v>
      </c>
      <c r="N294" t="s">
        <v>15</v>
      </c>
      <c r="O294" t="s">
        <v>54</v>
      </c>
      <c r="P294">
        <v>75</v>
      </c>
      <c r="Q294">
        <v>10000</v>
      </c>
      <c r="R294" t="str">
        <f t="shared" si="29"/>
        <v>Steps Achieved</v>
      </c>
      <c r="S294" t="s">
        <v>24</v>
      </c>
    </row>
    <row r="295" spans="1:19" x14ac:dyDescent="0.25">
      <c r="A295">
        <v>294</v>
      </c>
      <c r="B295" t="s">
        <v>28</v>
      </c>
      <c r="C295">
        <v>50</v>
      </c>
      <c r="D295" t="str">
        <f t="shared" si="24"/>
        <v>50's</v>
      </c>
      <c r="E295" t="s">
        <v>29</v>
      </c>
      <c r="F295">
        <v>6</v>
      </c>
      <c r="G295" t="str">
        <f t="shared" si="25"/>
        <v>Low</v>
      </c>
      <c r="H295">
        <v>6</v>
      </c>
      <c r="I295" t="str">
        <f t="shared" si="26"/>
        <v>Good</v>
      </c>
      <c r="J295">
        <v>90</v>
      </c>
      <c r="K295" s="1">
        <f t="shared" si="27"/>
        <v>3.75</v>
      </c>
      <c r="L295" s="1" t="str">
        <f t="shared" si="28"/>
        <v>Highly Active</v>
      </c>
      <c r="M295">
        <v>8</v>
      </c>
      <c r="N295" t="s">
        <v>15</v>
      </c>
      <c r="O295" t="s">
        <v>54</v>
      </c>
      <c r="P295">
        <v>75</v>
      </c>
      <c r="Q295">
        <v>10000</v>
      </c>
      <c r="R295" t="str">
        <f t="shared" si="29"/>
        <v>Steps Achieved</v>
      </c>
      <c r="S295" t="s">
        <v>24</v>
      </c>
    </row>
    <row r="296" spans="1:19" x14ac:dyDescent="0.25">
      <c r="A296">
        <v>295</v>
      </c>
      <c r="B296" t="s">
        <v>28</v>
      </c>
      <c r="C296">
        <v>50</v>
      </c>
      <c r="D296" t="str">
        <f t="shared" si="24"/>
        <v>50's</v>
      </c>
      <c r="E296" t="s">
        <v>29</v>
      </c>
      <c r="F296">
        <v>6.1</v>
      </c>
      <c r="G296" t="str">
        <f t="shared" si="25"/>
        <v>Low</v>
      </c>
      <c r="H296">
        <v>6</v>
      </c>
      <c r="I296" t="str">
        <f t="shared" si="26"/>
        <v>Good</v>
      </c>
      <c r="J296">
        <v>90</v>
      </c>
      <c r="K296" s="1">
        <f t="shared" si="27"/>
        <v>3.75</v>
      </c>
      <c r="L296" s="1" t="str">
        <f t="shared" si="28"/>
        <v>Highly Active</v>
      </c>
      <c r="M296">
        <v>8</v>
      </c>
      <c r="N296" t="s">
        <v>15</v>
      </c>
      <c r="O296" t="s">
        <v>54</v>
      </c>
      <c r="P296">
        <v>75</v>
      </c>
      <c r="Q296">
        <v>10000</v>
      </c>
      <c r="R296" t="str">
        <f t="shared" si="29"/>
        <v>Steps Achieved</v>
      </c>
      <c r="S296" t="s">
        <v>24</v>
      </c>
    </row>
    <row r="297" spans="1:19" x14ac:dyDescent="0.25">
      <c r="A297">
        <v>296</v>
      </c>
      <c r="B297" t="s">
        <v>28</v>
      </c>
      <c r="C297">
        <v>50</v>
      </c>
      <c r="D297" t="str">
        <f t="shared" si="24"/>
        <v>50's</v>
      </c>
      <c r="E297" t="s">
        <v>29</v>
      </c>
      <c r="F297">
        <v>6</v>
      </c>
      <c r="G297" t="str">
        <f t="shared" si="25"/>
        <v>Low</v>
      </c>
      <c r="H297">
        <v>6</v>
      </c>
      <c r="I297" t="str">
        <f t="shared" si="26"/>
        <v>Good</v>
      </c>
      <c r="J297">
        <v>90</v>
      </c>
      <c r="K297" s="1">
        <f t="shared" si="27"/>
        <v>3.75</v>
      </c>
      <c r="L297" s="1" t="str">
        <f t="shared" si="28"/>
        <v>Highly Active</v>
      </c>
      <c r="M297">
        <v>8</v>
      </c>
      <c r="N297" t="s">
        <v>15</v>
      </c>
      <c r="O297" t="s">
        <v>54</v>
      </c>
      <c r="P297">
        <v>75</v>
      </c>
      <c r="Q297">
        <v>10000</v>
      </c>
      <c r="R297" t="str">
        <f t="shared" si="29"/>
        <v>Steps Achieved</v>
      </c>
      <c r="S297" t="s">
        <v>24</v>
      </c>
    </row>
    <row r="298" spans="1:19" x14ac:dyDescent="0.25">
      <c r="A298">
        <v>297</v>
      </c>
      <c r="B298" t="s">
        <v>28</v>
      </c>
      <c r="C298">
        <v>50</v>
      </c>
      <c r="D298" t="str">
        <f t="shared" si="24"/>
        <v>50's</v>
      </c>
      <c r="E298" t="s">
        <v>29</v>
      </c>
      <c r="F298">
        <v>6.1</v>
      </c>
      <c r="G298" t="str">
        <f t="shared" si="25"/>
        <v>Low</v>
      </c>
      <c r="H298">
        <v>6</v>
      </c>
      <c r="I298" t="str">
        <f t="shared" si="26"/>
        <v>Good</v>
      </c>
      <c r="J298">
        <v>90</v>
      </c>
      <c r="K298" s="1">
        <f t="shared" si="27"/>
        <v>3.75</v>
      </c>
      <c r="L298" s="1" t="str">
        <f t="shared" si="28"/>
        <v>Highly Active</v>
      </c>
      <c r="M298">
        <v>8</v>
      </c>
      <c r="N298" t="s">
        <v>15</v>
      </c>
      <c r="O298" t="s">
        <v>54</v>
      </c>
      <c r="P298">
        <v>75</v>
      </c>
      <c r="Q298">
        <v>10000</v>
      </c>
      <c r="R298" t="str">
        <f t="shared" si="29"/>
        <v>Steps Achieved</v>
      </c>
      <c r="S298" t="s">
        <v>24</v>
      </c>
    </row>
    <row r="299" spans="1:19" x14ac:dyDescent="0.25">
      <c r="A299">
        <v>298</v>
      </c>
      <c r="B299" t="s">
        <v>28</v>
      </c>
      <c r="C299">
        <v>50</v>
      </c>
      <c r="D299" t="str">
        <f t="shared" si="24"/>
        <v>50's</v>
      </c>
      <c r="E299" t="s">
        <v>29</v>
      </c>
      <c r="F299">
        <v>6.1</v>
      </c>
      <c r="G299" t="str">
        <f t="shared" si="25"/>
        <v>Low</v>
      </c>
      <c r="H299">
        <v>6</v>
      </c>
      <c r="I299" t="str">
        <f t="shared" si="26"/>
        <v>Good</v>
      </c>
      <c r="J299">
        <v>90</v>
      </c>
      <c r="K299" s="1">
        <f t="shared" si="27"/>
        <v>3.75</v>
      </c>
      <c r="L299" s="1" t="str">
        <f t="shared" si="28"/>
        <v>Highly Active</v>
      </c>
      <c r="M299">
        <v>8</v>
      </c>
      <c r="N299" t="s">
        <v>15</v>
      </c>
      <c r="O299" t="s">
        <v>54</v>
      </c>
      <c r="P299">
        <v>75</v>
      </c>
      <c r="Q299">
        <v>10000</v>
      </c>
      <c r="R299" t="str">
        <f t="shared" si="29"/>
        <v>Steps Achieved</v>
      </c>
      <c r="S299" t="s">
        <v>24</v>
      </c>
    </row>
    <row r="300" spans="1:19" x14ac:dyDescent="0.25">
      <c r="A300">
        <v>299</v>
      </c>
      <c r="B300" t="s">
        <v>28</v>
      </c>
      <c r="C300">
        <v>51</v>
      </c>
      <c r="D300" t="str">
        <f t="shared" si="24"/>
        <v>50's</v>
      </c>
      <c r="E300" t="s">
        <v>33</v>
      </c>
      <c r="F300">
        <v>8.5</v>
      </c>
      <c r="G300" t="str">
        <f t="shared" si="25"/>
        <v>Good</v>
      </c>
      <c r="H300">
        <v>9</v>
      </c>
      <c r="I300" t="str">
        <f t="shared" si="26"/>
        <v>Good</v>
      </c>
      <c r="J300">
        <v>30</v>
      </c>
      <c r="K300" s="1">
        <f t="shared" si="27"/>
        <v>1.25</v>
      </c>
      <c r="L300" s="1" t="str">
        <f t="shared" si="28"/>
        <v>Sedentary</v>
      </c>
      <c r="M300">
        <v>3</v>
      </c>
      <c r="N300" t="s">
        <v>19</v>
      </c>
      <c r="O300" t="s">
        <v>20</v>
      </c>
      <c r="P300">
        <v>65</v>
      </c>
      <c r="Q300">
        <v>5000</v>
      </c>
      <c r="R300" t="str">
        <f t="shared" si="29"/>
        <v>Half Achieved</v>
      </c>
      <c r="S300" t="s">
        <v>17</v>
      </c>
    </row>
    <row r="301" spans="1:19" x14ac:dyDescent="0.25">
      <c r="A301">
        <v>300</v>
      </c>
      <c r="B301" t="s">
        <v>28</v>
      </c>
      <c r="C301">
        <v>51</v>
      </c>
      <c r="D301" t="str">
        <f t="shared" si="24"/>
        <v>50's</v>
      </c>
      <c r="E301" t="s">
        <v>33</v>
      </c>
      <c r="F301">
        <v>8.5</v>
      </c>
      <c r="G301" t="str">
        <f t="shared" si="25"/>
        <v>Good</v>
      </c>
      <c r="H301">
        <v>9</v>
      </c>
      <c r="I301" t="str">
        <f t="shared" si="26"/>
        <v>Good</v>
      </c>
      <c r="J301">
        <v>30</v>
      </c>
      <c r="K301" s="1">
        <f t="shared" si="27"/>
        <v>1.25</v>
      </c>
      <c r="L301" s="1" t="str">
        <f t="shared" si="28"/>
        <v>Sedentary</v>
      </c>
      <c r="M301">
        <v>3</v>
      </c>
      <c r="N301" t="s">
        <v>19</v>
      </c>
      <c r="O301" t="s">
        <v>20</v>
      </c>
      <c r="P301">
        <v>65</v>
      </c>
      <c r="Q301">
        <v>5000</v>
      </c>
      <c r="R301" t="str">
        <f t="shared" si="29"/>
        <v>Half Achieved</v>
      </c>
      <c r="S301" t="s">
        <v>17</v>
      </c>
    </row>
    <row r="302" spans="1:19" x14ac:dyDescent="0.25">
      <c r="A302">
        <v>301</v>
      </c>
      <c r="B302" t="s">
        <v>28</v>
      </c>
      <c r="C302">
        <v>51</v>
      </c>
      <c r="D302" t="str">
        <f t="shared" si="24"/>
        <v>50's</v>
      </c>
      <c r="E302" t="s">
        <v>33</v>
      </c>
      <c r="F302">
        <v>8.5</v>
      </c>
      <c r="G302" t="str">
        <f t="shared" si="25"/>
        <v>Good</v>
      </c>
      <c r="H302">
        <v>9</v>
      </c>
      <c r="I302" t="str">
        <f t="shared" si="26"/>
        <v>Good</v>
      </c>
      <c r="J302">
        <v>30</v>
      </c>
      <c r="K302" s="1">
        <f t="shared" si="27"/>
        <v>1.25</v>
      </c>
      <c r="L302" s="1" t="str">
        <f t="shared" si="28"/>
        <v>Sedentary</v>
      </c>
      <c r="M302">
        <v>3</v>
      </c>
      <c r="N302" t="s">
        <v>19</v>
      </c>
      <c r="O302" t="s">
        <v>20</v>
      </c>
      <c r="P302">
        <v>65</v>
      </c>
      <c r="Q302">
        <v>5000</v>
      </c>
      <c r="R302" t="str">
        <f t="shared" si="29"/>
        <v>Half Achieved</v>
      </c>
      <c r="S302" t="s">
        <v>17</v>
      </c>
    </row>
    <row r="303" spans="1:19" x14ac:dyDescent="0.25">
      <c r="A303">
        <v>302</v>
      </c>
      <c r="B303" t="s">
        <v>28</v>
      </c>
      <c r="C303">
        <v>51</v>
      </c>
      <c r="D303" t="str">
        <f t="shared" si="24"/>
        <v>50's</v>
      </c>
      <c r="E303" t="s">
        <v>33</v>
      </c>
      <c r="F303">
        <v>8.5</v>
      </c>
      <c r="G303" t="str">
        <f t="shared" si="25"/>
        <v>Good</v>
      </c>
      <c r="H303">
        <v>9</v>
      </c>
      <c r="I303" t="str">
        <f t="shared" si="26"/>
        <v>Good</v>
      </c>
      <c r="J303">
        <v>30</v>
      </c>
      <c r="K303" s="1">
        <f t="shared" si="27"/>
        <v>1.25</v>
      </c>
      <c r="L303" s="1" t="str">
        <f t="shared" si="28"/>
        <v>Sedentary</v>
      </c>
      <c r="M303">
        <v>3</v>
      </c>
      <c r="N303" t="s">
        <v>19</v>
      </c>
      <c r="O303" t="s">
        <v>20</v>
      </c>
      <c r="P303">
        <v>65</v>
      </c>
      <c r="Q303">
        <v>5000</v>
      </c>
      <c r="R303" t="str">
        <f t="shared" si="29"/>
        <v>Half Achieved</v>
      </c>
      <c r="S303" t="s">
        <v>17</v>
      </c>
    </row>
    <row r="304" spans="1:19" x14ac:dyDescent="0.25">
      <c r="A304">
        <v>303</v>
      </c>
      <c r="B304" t="s">
        <v>28</v>
      </c>
      <c r="C304">
        <v>51</v>
      </c>
      <c r="D304" t="str">
        <f t="shared" si="24"/>
        <v>50's</v>
      </c>
      <c r="E304" t="s">
        <v>29</v>
      </c>
      <c r="F304">
        <v>7.1</v>
      </c>
      <c r="G304" t="str">
        <f t="shared" si="25"/>
        <v>Good</v>
      </c>
      <c r="H304">
        <v>7</v>
      </c>
      <c r="I304" t="str">
        <f t="shared" si="26"/>
        <v>Good</v>
      </c>
      <c r="J304">
        <v>55</v>
      </c>
      <c r="K304" s="1">
        <f t="shared" si="27"/>
        <v>2.2916666666666665</v>
      </c>
      <c r="L304" s="1" t="str">
        <f t="shared" si="28"/>
        <v>Highly Active</v>
      </c>
      <c r="M304">
        <v>6</v>
      </c>
      <c r="N304" t="s">
        <v>19</v>
      </c>
      <c r="O304" t="s">
        <v>48</v>
      </c>
      <c r="P304">
        <v>72</v>
      </c>
      <c r="Q304">
        <v>6000</v>
      </c>
      <c r="R304" t="str">
        <f t="shared" si="29"/>
        <v>Half Achieved</v>
      </c>
      <c r="S304" t="s">
        <v>17</v>
      </c>
    </row>
    <row r="305" spans="1:19" x14ac:dyDescent="0.25">
      <c r="A305">
        <v>304</v>
      </c>
      <c r="B305" t="s">
        <v>28</v>
      </c>
      <c r="C305">
        <v>51</v>
      </c>
      <c r="D305" t="str">
        <f t="shared" si="24"/>
        <v>50's</v>
      </c>
      <c r="E305" t="s">
        <v>29</v>
      </c>
      <c r="F305">
        <v>6</v>
      </c>
      <c r="G305" t="str">
        <f t="shared" si="25"/>
        <v>Low</v>
      </c>
      <c r="H305">
        <v>6</v>
      </c>
      <c r="I305" t="str">
        <f t="shared" si="26"/>
        <v>Good</v>
      </c>
      <c r="J305">
        <v>90</v>
      </c>
      <c r="K305" s="1">
        <f t="shared" si="27"/>
        <v>3.75</v>
      </c>
      <c r="L305" s="1" t="str">
        <f t="shared" si="28"/>
        <v>Highly Active</v>
      </c>
      <c r="M305">
        <v>8</v>
      </c>
      <c r="N305" t="s">
        <v>15</v>
      </c>
      <c r="O305" t="s">
        <v>54</v>
      </c>
      <c r="P305">
        <v>75</v>
      </c>
      <c r="Q305">
        <v>10000</v>
      </c>
      <c r="R305" t="str">
        <f t="shared" si="29"/>
        <v>Steps Achieved</v>
      </c>
      <c r="S305" t="s">
        <v>24</v>
      </c>
    </row>
    <row r="306" spans="1:19" x14ac:dyDescent="0.25">
      <c r="A306">
        <v>305</v>
      </c>
      <c r="B306" t="s">
        <v>28</v>
      </c>
      <c r="C306">
        <v>51</v>
      </c>
      <c r="D306" t="str">
        <f t="shared" si="24"/>
        <v>50's</v>
      </c>
      <c r="E306" t="s">
        <v>29</v>
      </c>
      <c r="F306">
        <v>6.1</v>
      </c>
      <c r="G306" t="str">
        <f t="shared" si="25"/>
        <v>Low</v>
      </c>
      <c r="H306">
        <v>6</v>
      </c>
      <c r="I306" t="str">
        <f t="shared" si="26"/>
        <v>Good</v>
      </c>
      <c r="J306">
        <v>90</v>
      </c>
      <c r="K306" s="1">
        <f t="shared" si="27"/>
        <v>3.75</v>
      </c>
      <c r="L306" s="1" t="str">
        <f t="shared" si="28"/>
        <v>Highly Active</v>
      </c>
      <c r="M306">
        <v>8</v>
      </c>
      <c r="N306" t="s">
        <v>15</v>
      </c>
      <c r="O306" t="s">
        <v>54</v>
      </c>
      <c r="P306">
        <v>75</v>
      </c>
      <c r="Q306">
        <v>10000</v>
      </c>
      <c r="R306" t="str">
        <f t="shared" si="29"/>
        <v>Steps Achieved</v>
      </c>
      <c r="S306" t="s">
        <v>24</v>
      </c>
    </row>
    <row r="307" spans="1:19" x14ac:dyDescent="0.25">
      <c r="A307">
        <v>306</v>
      </c>
      <c r="B307" t="s">
        <v>28</v>
      </c>
      <c r="C307">
        <v>51</v>
      </c>
      <c r="D307" t="str">
        <f t="shared" si="24"/>
        <v>50's</v>
      </c>
      <c r="E307" t="s">
        <v>29</v>
      </c>
      <c r="F307">
        <v>6.1</v>
      </c>
      <c r="G307" t="str">
        <f t="shared" si="25"/>
        <v>Low</v>
      </c>
      <c r="H307">
        <v>6</v>
      </c>
      <c r="I307" t="str">
        <f t="shared" si="26"/>
        <v>Good</v>
      </c>
      <c r="J307">
        <v>90</v>
      </c>
      <c r="K307" s="1">
        <f t="shared" si="27"/>
        <v>3.75</v>
      </c>
      <c r="L307" s="1" t="str">
        <f t="shared" si="28"/>
        <v>Highly Active</v>
      </c>
      <c r="M307">
        <v>8</v>
      </c>
      <c r="N307" t="s">
        <v>15</v>
      </c>
      <c r="O307" t="s">
        <v>54</v>
      </c>
      <c r="P307">
        <v>75</v>
      </c>
      <c r="Q307">
        <v>10000</v>
      </c>
      <c r="R307" t="str">
        <f t="shared" si="29"/>
        <v>Steps Achieved</v>
      </c>
      <c r="S307" t="s">
        <v>24</v>
      </c>
    </row>
    <row r="308" spans="1:19" x14ac:dyDescent="0.25">
      <c r="A308">
        <v>307</v>
      </c>
      <c r="B308" t="s">
        <v>28</v>
      </c>
      <c r="C308">
        <v>52</v>
      </c>
      <c r="D308" t="str">
        <f t="shared" si="24"/>
        <v>50's</v>
      </c>
      <c r="E308" t="s">
        <v>34</v>
      </c>
      <c r="F308">
        <v>6.5</v>
      </c>
      <c r="G308" t="str">
        <f t="shared" si="25"/>
        <v>Low</v>
      </c>
      <c r="H308">
        <v>7</v>
      </c>
      <c r="I308" t="str">
        <f t="shared" si="26"/>
        <v>Good</v>
      </c>
      <c r="J308">
        <v>45</v>
      </c>
      <c r="K308" s="1">
        <f t="shared" si="27"/>
        <v>1.875</v>
      </c>
      <c r="L308" s="1" t="str">
        <f t="shared" si="28"/>
        <v>Active</v>
      </c>
      <c r="M308">
        <v>7</v>
      </c>
      <c r="N308" t="s">
        <v>15</v>
      </c>
      <c r="O308" t="s">
        <v>44</v>
      </c>
      <c r="P308">
        <v>72</v>
      </c>
      <c r="Q308">
        <v>6000</v>
      </c>
      <c r="R308" t="str">
        <f t="shared" si="29"/>
        <v>Half Achieved</v>
      </c>
      <c r="S308" t="s">
        <v>25</v>
      </c>
    </row>
    <row r="309" spans="1:19" x14ac:dyDescent="0.25">
      <c r="A309">
        <v>308</v>
      </c>
      <c r="B309" t="s">
        <v>28</v>
      </c>
      <c r="C309">
        <v>52</v>
      </c>
      <c r="D309" t="str">
        <f t="shared" si="24"/>
        <v>50's</v>
      </c>
      <c r="E309" t="s">
        <v>34</v>
      </c>
      <c r="F309">
        <v>6.5</v>
      </c>
      <c r="G309" t="str">
        <f t="shared" si="25"/>
        <v>Low</v>
      </c>
      <c r="H309">
        <v>7</v>
      </c>
      <c r="I309" t="str">
        <f t="shared" si="26"/>
        <v>Good</v>
      </c>
      <c r="J309">
        <v>45</v>
      </c>
      <c r="K309" s="1">
        <f t="shared" si="27"/>
        <v>1.875</v>
      </c>
      <c r="L309" s="1" t="str">
        <f t="shared" si="28"/>
        <v>Active</v>
      </c>
      <c r="M309">
        <v>7</v>
      </c>
      <c r="N309" t="s">
        <v>15</v>
      </c>
      <c r="O309" t="s">
        <v>44</v>
      </c>
      <c r="P309">
        <v>72</v>
      </c>
      <c r="Q309">
        <v>6000</v>
      </c>
      <c r="R309" t="str">
        <f t="shared" si="29"/>
        <v>Half Achieved</v>
      </c>
      <c r="S309" t="s">
        <v>25</v>
      </c>
    </row>
    <row r="310" spans="1:19" x14ac:dyDescent="0.25">
      <c r="A310">
        <v>309</v>
      </c>
      <c r="B310" t="s">
        <v>28</v>
      </c>
      <c r="C310">
        <v>52</v>
      </c>
      <c r="D310" t="str">
        <f t="shared" si="24"/>
        <v>50's</v>
      </c>
      <c r="E310" t="s">
        <v>34</v>
      </c>
      <c r="F310">
        <v>6.6</v>
      </c>
      <c r="G310" t="str">
        <f t="shared" si="25"/>
        <v>Low</v>
      </c>
      <c r="H310">
        <v>7</v>
      </c>
      <c r="I310" t="str">
        <f t="shared" si="26"/>
        <v>Good</v>
      </c>
      <c r="J310">
        <v>45</v>
      </c>
      <c r="K310" s="1">
        <f t="shared" si="27"/>
        <v>1.875</v>
      </c>
      <c r="L310" s="1" t="str">
        <f t="shared" si="28"/>
        <v>Active</v>
      </c>
      <c r="M310">
        <v>7</v>
      </c>
      <c r="N310" t="s">
        <v>15</v>
      </c>
      <c r="O310" t="s">
        <v>44</v>
      </c>
      <c r="P310">
        <v>72</v>
      </c>
      <c r="Q310">
        <v>6000</v>
      </c>
      <c r="R310" t="str">
        <f t="shared" si="29"/>
        <v>Half Achieved</v>
      </c>
      <c r="S310" t="s">
        <v>25</v>
      </c>
    </row>
    <row r="311" spans="1:19" x14ac:dyDescent="0.25">
      <c r="A311">
        <v>310</v>
      </c>
      <c r="B311" t="s">
        <v>28</v>
      </c>
      <c r="C311">
        <v>52</v>
      </c>
      <c r="D311" t="str">
        <f t="shared" si="24"/>
        <v>50's</v>
      </c>
      <c r="E311" t="s">
        <v>34</v>
      </c>
      <c r="F311">
        <v>6.6</v>
      </c>
      <c r="G311" t="str">
        <f t="shared" si="25"/>
        <v>Low</v>
      </c>
      <c r="H311">
        <v>7</v>
      </c>
      <c r="I311" t="str">
        <f t="shared" si="26"/>
        <v>Good</v>
      </c>
      <c r="J311">
        <v>45</v>
      </c>
      <c r="K311" s="1">
        <f t="shared" si="27"/>
        <v>1.875</v>
      </c>
      <c r="L311" s="1" t="str">
        <f t="shared" si="28"/>
        <v>Active</v>
      </c>
      <c r="M311">
        <v>7</v>
      </c>
      <c r="N311" t="s">
        <v>15</v>
      </c>
      <c r="O311" t="s">
        <v>44</v>
      </c>
      <c r="P311">
        <v>72</v>
      </c>
      <c r="Q311">
        <v>6000</v>
      </c>
      <c r="R311" t="str">
        <f t="shared" si="29"/>
        <v>Half Achieved</v>
      </c>
      <c r="S311" t="s">
        <v>25</v>
      </c>
    </row>
    <row r="312" spans="1:19" x14ac:dyDescent="0.25">
      <c r="A312">
        <v>311</v>
      </c>
      <c r="B312" t="s">
        <v>28</v>
      </c>
      <c r="C312">
        <v>52</v>
      </c>
      <c r="D312" t="str">
        <f t="shared" si="24"/>
        <v>50's</v>
      </c>
      <c r="E312" t="s">
        <v>34</v>
      </c>
      <c r="F312">
        <v>6.6</v>
      </c>
      <c r="G312" t="str">
        <f t="shared" si="25"/>
        <v>Low</v>
      </c>
      <c r="H312">
        <v>7</v>
      </c>
      <c r="I312" t="str">
        <f t="shared" si="26"/>
        <v>Good</v>
      </c>
      <c r="J312">
        <v>45</v>
      </c>
      <c r="K312" s="1">
        <f t="shared" si="27"/>
        <v>1.875</v>
      </c>
      <c r="L312" s="1" t="str">
        <f t="shared" si="28"/>
        <v>Active</v>
      </c>
      <c r="M312">
        <v>7</v>
      </c>
      <c r="N312" t="s">
        <v>15</v>
      </c>
      <c r="O312" t="s">
        <v>44</v>
      </c>
      <c r="P312">
        <v>72</v>
      </c>
      <c r="Q312">
        <v>6000</v>
      </c>
      <c r="R312" t="str">
        <f t="shared" si="29"/>
        <v>Half Achieved</v>
      </c>
      <c r="S312" t="s">
        <v>25</v>
      </c>
    </row>
    <row r="313" spans="1:19" x14ac:dyDescent="0.25">
      <c r="A313">
        <v>312</v>
      </c>
      <c r="B313" t="s">
        <v>28</v>
      </c>
      <c r="C313">
        <v>52</v>
      </c>
      <c r="D313" t="str">
        <f t="shared" si="24"/>
        <v>50's</v>
      </c>
      <c r="E313" t="s">
        <v>34</v>
      </c>
      <c r="F313">
        <v>6.6</v>
      </c>
      <c r="G313" t="str">
        <f t="shared" si="25"/>
        <v>Low</v>
      </c>
      <c r="H313">
        <v>7</v>
      </c>
      <c r="I313" t="str">
        <f t="shared" si="26"/>
        <v>Good</v>
      </c>
      <c r="J313">
        <v>45</v>
      </c>
      <c r="K313" s="1">
        <f t="shared" si="27"/>
        <v>1.875</v>
      </c>
      <c r="L313" s="1" t="str">
        <f t="shared" si="28"/>
        <v>Active</v>
      </c>
      <c r="M313">
        <v>7</v>
      </c>
      <c r="N313" t="s">
        <v>15</v>
      </c>
      <c r="O313" t="s">
        <v>44</v>
      </c>
      <c r="P313">
        <v>72</v>
      </c>
      <c r="Q313">
        <v>6000</v>
      </c>
      <c r="R313" t="str">
        <f t="shared" si="29"/>
        <v>Half Achieved</v>
      </c>
      <c r="S313" t="s">
        <v>25</v>
      </c>
    </row>
    <row r="314" spans="1:19" x14ac:dyDescent="0.25">
      <c r="A314">
        <v>313</v>
      </c>
      <c r="B314" t="s">
        <v>28</v>
      </c>
      <c r="C314">
        <v>52</v>
      </c>
      <c r="D314" t="str">
        <f t="shared" si="24"/>
        <v>50's</v>
      </c>
      <c r="E314" t="s">
        <v>33</v>
      </c>
      <c r="F314">
        <v>8.4</v>
      </c>
      <c r="G314" t="str">
        <f t="shared" si="25"/>
        <v>Good</v>
      </c>
      <c r="H314">
        <v>9</v>
      </c>
      <c r="I314" t="str">
        <f t="shared" si="26"/>
        <v>Good</v>
      </c>
      <c r="J314">
        <v>30</v>
      </c>
      <c r="K314" s="1">
        <f t="shared" si="27"/>
        <v>1.25</v>
      </c>
      <c r="L314" s="1" t="str">
        <f t="shared" si="28"/>
        <v>Sedentary</v>
      </c>
      <c r="M314">
        <v>3</v>
      </c>
      <c r="N314" t="s">
        <v>19</v>
      </c>
      <c r="O314" t="s">
        <v>20</v>
      </c>
      <c r="P314">
        <v>65</v>
      </c>
      <c r="Q314">
        <v>5000</v>
      </c>
      <c r="R314" t="str">
        <f t="shared" si="29"/>
        <v>Half Achieved</v>
      </c>
      <c r="S314" t="s">
        <v>17</v>
      </c>
    </row>
    <row r="315" spans="1:19" x14ac:dyDescent="0.25">
      <c r="A315">
        <v>314</v>
      </c>
      <c r="B315" t="s">
        <v>28</v>
      </c>
      <c r="C315">
        <v>52</v>
      </c>
      <c r="D315" t="str">
        <f t="shared" si="24"/>
        <v>50's</v>
      </c>
      <c r="E315" t="s">
        <v>33</v>
      </c>
      <c r="F315">
        <v>8.4</v>
      </c>
      <c r="G315" t="str">
        <f t="shared" si="25"/>
        <v>Good</v>
      </c>
      <c r="H315">
        <v>9</v>
      </c>
      <c r="I315" t="str">
        <f t="shared" si="26"/>
        <v>Good</v>
      </c>
      <c r="J315">
        <v>30</v>
      </c>
      <c r="K315" s="1">
        <f t="shared" si="27"/>
        <v>1.25</v>
      </c>
      <c r="L315" s="1" t="str">
        <f t="shared" si="28"/>
        <v>Sedentary</v>
      </c>
      <c r="M315">
        <v>3</v>
      </c>
      <c r="N315" t="s">
        <v>19</v>
      </c>
      <c r="O315" t="s">
        <v>20</v>
      </c>
      <c r="P315">
        <v>65</v>
      </c>
      <c r="Q315">
        <v>5000</v>
      </c>
      <c r="R315" t="str">
        <f t="shared" si="29"/>
        <v>Half Achieved</v>
      </c>
      <c r="S315" t="s">
        <v>17</v>
      </c>
    </row>
    <row r="316" spans="1:19" x14ac:dyDescent="0.25">
      <c r="A316">
        <v>315</v>
      </c>
      <c r="B316" t="s">
        <v>28</v>
      </c>
      <c r="C316">
        <v>52</v>
      </c>
      <c r="D316" t="str">
        <f t="shared" si="24"/>
        <v>50's</v>
      </c>
      <c r="E316" t="s">
        <v>33</v>
      </c>
      <c r="F316">
        <v>8.4</v>
      </c>
      <c r="G316" t="str">
        <f t="shared" si="25"/>
        <v>Good</v>
      </c>
      <c r="H316">
        <v>9</v>
      </c>
      <c r="I316" t="str">
        <f t="shared" si="26"/>
        <v>Good</v>
      </c>
      <c r="J316">
        <v>30</v>
      </c>
      <c r="K316" s="1">
        <f t="shared" si="27"/>
        <v>1.25</v>
      </c>
      <c r="L316" s="1" t="str">
        <f t="shared" si="28"/>
        <v>Sedentary</v>
      </c>
      <c r="M316">
        <v>3</v>
      </c>
      <c r="N316" t="s">
        <v>19</v>
      </c>
      <c r="O316" t="s">
        <v>20</v>
      </c>
      <c r="P316">
        <v>65</v>
      </c>
      <c r="Q316">
        <v>5000</v>
      </c>
      <c r="R316" t="str">
        <f t="shared" si="29"/>
        <v>Half Achieved</v>
      </c>
      <c r="S316" t="s">
        <v>17</v>
      </c>
    </row>
    <row r="317" spans="1:19" x14ac:dyDescent="0.25">
      <c r="A317">
        <v>316</v>
      </c>
      <c r="B317" t="s">
        <v>28</v>
      </c>
      <c r="C317">
        <v>53</v>
      </c>
      <c r="D317" t="str">
        <f t="shared" si="24"/>
        <v>50's</v>
      </c>
      <c r="E317" t="s">
        <v>33</v>
      </c>
      <c r="F317">
        <v>8.3000000000000007</v>
      </c>
      <c r="G317" t="str">
        <f t="shared" si="25"/>
        <v>Good</v>
      </c>
      <c r="H317">
        <v>9</v>
      </c>
      <c r="I317" t="str">
        <f t="shared" si="26"/>
        <v>Good</v>
      </c>
      <c r="J317">
        <v>30</v>
      </c>
      <c r="K317" s="1">
        <f t="shared" si="27"/>
        <v>1.25</v>
      </c>
      <c r="L317" s="1" t="str">
        <f t="shared" si="28"/>
        <v>Sedentary</v>
      </c>
      <c r="M317">
        <v>3</v>
      </c>
      <c r="N317" t="s">
        <v>19</v>
      </c>
      <c r="O317" t="s">
        <v>20</v>
      </c>
      <c r="P317">
        <v>65</v>
      </c>
      <c r="Q317">
        <v>5000</v>
      </c>
      <c r="R317" t="str">
        <f t="shared" si="29"/>
        <v>Half Achieved</v>
      </c>
      <c r="S317" t="s">
        <v>25</v>
      </c>
    </row>
    <row r="318" spans="1:19" x14ac:dyDescent="0.25">
      <c r="A318">
        <v>317</v>
      </c>
      <c r="B318" t="s">
        <v>28</v>
      </c>
      <c r="C318">
        <v>53</v>
      </c>
      <c r="D318" t="str">
        <f t="shared" si="24"/>
        <v>50's</v>
      </c>
      <c r="E318" t="s">
        <v>33</v>
      </c>
      <c r="F318">
        <v>8.5</v>
      </c>
      <c r="G318" t="str">
        <f t="shared" si="25"/>
        <v>Good</v>
      </c>
      <c r="H318">
        <v>9</v>
      </c>
      <c r="I318" t="str">
        <f t="shared" si="26"/>
        <v>Good</v>
      </c>
      <c r="J318">
        <v>30</v>
      </c>
      <c r="K318" s="1">
        <f t="shared" si="27"/>
        <v>1.25</v>
      </c>
      <c r="L318" s="1" t="str">
        <f t="shared" si="28"/>
        <v>Sedentary</v>
      </c>
      <c r="M318">
        <v>3</v>
      </c>
      <c r="N318" t="s">
        <v>19</v>
      </c>
      <c r="O318" t="s">
        <v>20</v>
      </c>
      <c r="P318">
        <v>65</v>
      </c>
      <c r="Q318">
        <v>5000</v>
      </c>
      <c r="R318" t="str">
        <f t="shared" si="29"/>
        <v>Half Achieved</v>
      </c>
      <c r="S318" t="s">
        <v>17</v>
      </c>
    </row>
    <row r="319" spans="1:19" x14ac:dyDescent="0.25">
      <c r="A319">
        <v>318</v>
      </c>
      <c r="B319" t="s">
        <v>28</v>
      </c>
      <c r="C319">
        <v>53</v>
      </c>
      <c r="D319" t="str">
        <f t="shared" si="24"/>
        <v>50's</v>
      </c>
      <c r="E319" t="s">
        <v>33</v>
      </c>
      <c r="F319">
        <v>8.5</v>
      </c>
      <c r="G319" t="str">
        <f t="shared" si="25"/>
        <v>Good</v>
      </c>
      <c r="H319">
        <v>9</v>
      </c>
      <c r="I319" t="str">
        <f t="shared" si="26"/>
        <v>Good</v>
      </c>
      <c r="J319">
        <v>30</v>
      </c>
      <c r="K319" s="1">
        <f t="shared" si="27"/>
        <v>1.25</v>
      </c>
      <c r="L319" s="1" t="str">
        <f t="shared" si="28"/>
        <v>Sedentary</v>
      </c>
      <c r="M319">
        <v>3</v>
      </c>
      <c r="N319" t="s">
        <v>19</v>
      </c>
      <c r="O319" t="s">
        <v>20</v>
      </c>
      <c r="P319">
        <v>65</v>
      </c>
      <c r="Q319">
        <v>5000</v>
      </c>
      <c r="R319" t="str">
        <f t="shared" si="29"/>
        <v>Half Achieved</v>
      </c>
      <c r="S319" t="s">
        <v>17</v>
      </c>
    </row>
    <row r="320" spans="1:19" x14ac:dyDescent="0.25">
      <c r="A320">
        <v>319</v>
      </c>
      <c r="B320" t="s">
        <v>28</v>
      </c>
      <c r="C320">
        <v>53</v>
      </c>
      <c r="D320" t="str">
        <f t="shared" si="24"/>
        <v>50's</v>
      </c>
      <c r="E320" t="s">
        <v>33</v>
      </c>
      <c r="F320">
        <v>8.4</v>
      </c>
      <c r="G320" t="str">
        <f t="shared" si="25"/>
        <v>Good</v>
      </c>
      <c r="H320">
        <v>9</v>
      </c>
      <c r="I320" t="str">
        <f t="shared" si="26"/>
        <v>Good</v>
      </c>
      <c r="J320">
        <v>30</v>
      </c>
      <c r="K320" s="1">
        <f t="shared" si="27"/>
        <v>1.25</v>
      </c>
      <c r="L320" s="1" t="str">
        <f t="shared" si="28"/>
        <v>Sedentary</v>
      </c>
      <c r="M320">
        <v>3</v>
      </c>
      <c r="N320" t="s">
        <v>19</v>
      </c>
      <c r="O320" t="s">
        <v>20</v>
      </c>
      <c r="P320">
        <v>65</v>
      </c>
      <c r="Q320">
        <v>5000</v>
      </c>
      <c r="R320" t="str">
        <f t="shared" si="29"/>
        <v>Half Achieved</v>
      </c>
      <c r="S320" t="s">
        <v>17</v>
      </c>
    </row>
    <row r="321" spans="1:19" x14ac:dyDescent="0.25">
      <c r="A321">
        <v>320</v>
      </c>
      <c r="B321" t="s">
        <v>28</v>
      </c>
      <c r="C321">
        <v>53</v>
      </c>
      <c r="D321" t="str">
        <f t="shared" si="24"/>
        <v>50's</v>
      </c>
      <c r="E321" t="s">
        <v>33</v>
      </c>
      <c r="F321">
        <v>8.4</v>
      </c>
      <c r="G321" t="str">
        <f t="shared" si="25"/>
        <v>Good</v>
      </c>
      <c r="H321">
        <v>9</v>
      </c>
      <c r="I321" t="str">
        <f t="shared" si="26"/>
        <v>Good</v>
      </c>
      <c r="J321">
        <v>30</v>
      </c>
      <c r="K321" s="1">
        <f t="shared" si="27"/>
        <v>1.25</v>
      </c>
      <c r="L321" s="1" t="str">
        <f t="shared" si="28"/>
        <v>Sedentary</v>
      </c>
      <c r="M321">
        <v>3</v>
      </c>
      <c r="N321" t="s">
        <v>19</v>
      </c>
      <c r="O321" t="s">
        <v>20</v>
      </c>
      <c r="P321">
        <v>65</v>
      </c>
      <c r="Q321">
        <v>5000</v>
      </c>
      <c r="R321" t="str">
        <f t="shared" si="29"/>
        <v>Half Achieved</v>
      </c>
      <c r="S321" t="s">
        <v>17</v>
      </c>
    </row>
    <row r="322" spans="1:19" x14ac:dyDescent="0.25">
      <c r="A322">
        <v>321</v>
      </c>
      <c r="B322" t="s">
        <v>28</v>
      </c>
      <c r="C322">
        <v>53</v>
      </c>
      <c r="D322" t="str">
        <f t="shared" si="24"/>
        <v>50's</v>
      </c>
      <c r="E322" t="s">
        <v>33</v>
      </c>
      <c r="F322">
        <v>8.5</v>
      </c>
      <c r="G322" t="str">
        <f t="shared" si="25"/>
        <v>Good</v>
      </c>
      <c r="H322">
        <v>9</v>
      </c>
      <c r="I322" t="str">
        <f t="shared" si="26"/>
        <v>Good</v>
      </c>
      <c r="J322">
        <v>30</v>
      </c>
      <c r="K322" s="1">
        <f t="shared" si="27"/>
        <v>1.25</v>
      </c>
      <c r="L322" s="1" t="str">
        <f t="shared" si="28"/>
        <v>Sedentary</v>
      </c>
      <c r="M322">
        <v>3</v>
      </c>
      <c r="N322" t="s">
        <v>19</v>
      </c>
      <c r="O322" t="s">
        <v>20</v>
      </c>
      <c r="P322">
        <v>65</v>
      </c>
      <c r="Q322">
        <v>5000</v>
      </c>
      <c r="R322" t="str">
        <f t="shared" si="29"/>
        <v>Half Achieved</v>
      </c>
      <c r="S322" t="s">
        <v>17</v>
      </c>
    </row>
    <row r="323" spans="1:19" x14ac:dyDescent="0.25">
      <c r="A323">
        <v>322</v>
      </c>
      <c r="B323" t="s">
        <v>28</v>
      </c>
      <c r="C323">
        <v>53</v>
      </c>
      <c r="D323" t="str">
        <f t="shared" ref="D323:D375" si="30">IF(C323&lt;=29,"20's",(IF(C323&lt;=39,"30's",(IF(C323&lt;=49,"40's","50's")))))</f>
        <v>50's</v>
      </c>
      <c r="E323" t="s">
        <v>33</v>
      </c>
      <c r="F323">
        <v>8.4</v>
      </c>
      <c r="G323" t="str">
        <f t="shared" ref="G323:G375" si="31">IF(F323&lt;6,"Very low",(IF(F323&gt;=7,"Good","Low")))</f>
        <v>Good</v>
      </c>
      <c r="H323">
        <v>9</v>
      </c>
      <c r="I323" t="str">
        <f t="shared" ref="I323:I375" si="32">IF(H323&gt;=5,"Good","Poor")</f>
        <v>Good</v>
      </c>
      <c r="J323">
        <v>30</v>
      </c>
      <c r="K323" s="1">
        <f t="shared" ref="K323:K375" si="33">J323/24</f>
        <v>1.25</v>
      </c>
      <c r="L323" s="1" t="str">
        <f t="shared" ref="L323:L375" si="34">IF(K323&lt;=1.7,"Sedentary",(IF(K323&gt;=2,"Highly Active","Active")))</f>
        <v>Sedentary</v>
      </c>
      <c r="M323">
        <v>3</v>
      </c>
      <c r="N323" t="s">
        <v>19</v>
      </c>
      <c r="O323" t="s">
        <v>20</v>
      </c>
      <c r="P323">
        <v>65</v>
      </c>
      <c r="Q323">
        <v>5000</v>
      </c>
      <c r="R323" t="str">
        <f t="shared" ref="R323:R375" si="35">IF(Q323=10000,"Steps Achieved",(IF(Q323&gt;=5000,"Half Achieved","Partially Achieved")))</f>
        <v>Half Achieved</v>
      </c>
      <c r="S323" t="s">
        <v>17</v>
      </c>
    </row>
    <row r="324" spans="1:19" x14ac:dyDescent="0.25">
      <c r="A324">
        <v>323</v>
      </c>
      <c r="B324" t="s">
        <v>28</v>
      </c>
      <c r="C324">
        <v>53</v>
      </c>
      <c r="D324" t="str">
        <f t="shared" si="30"/>
        <v>50's</v>
      </c>
      <c r="E324" t="s">
        <v>33</v>
      </c>
      <c r="F324">
        <v>8.4</v>
      </c>
      <c r="G324" t="str">
        <f t="shared" si="31"/>
        <v>Good</v>
      </c>
      <c r="H324">
        <v>9</v>
      </c>
      <c r="I324" t="str">
        <f t="shared" si="32"/>
        <v>Good</v>
      </c>
      <c r="J324">
        <v>30</v>
      </c>
      <c r="K324" s="1">
        <f t="shared" si="33"/>
        <v>1.25</v>
      </c>
      <c r="L324" s="1" t="str">
        <f t="shared" si="34"/>
        <v>Sedentary</v>
      </c>
      <c r="M324">
        <v>3</v>
      </c>
      <c r="N324" t="s">
        <v>19</v>
      </c>
      <c r="O324" t="s">
        <v>20</v>
      </c>
      <c r="P324">
        <v>65</v>
      </c>
      <c r="Q324">
        <v>5000</v>
      </c>
      <c r="R324" t="str">
        <f t="shared" si="35"/>
        <v>Half Achieved</v>
      </c>
      <c r="S324" t="s">
        <v>17</v>
      </c>
    </row>
    <row r="325" spans="1:19" x14ac:dyDescent="0.25">
      <c r="A325">
        <v>324</v>
      </c>
      <c r="B325" t="s">
        <v>28</v>
      </c>
      <c r="C325">
        <v>53</v>
      </c>
      <c r="D325" t="str">
        <f t="shared" si="30"/>
        <v>50's</v>
      </c>
      <c r="E325" t="s">
        <v>33</v>
      </c>
      <c r="F325">
        <v>8.5</v>
      </c>
      <c r="G325" t="str">
        <f t="shared" si="31"/>
        <v>Good</v>
      </c>
      <c r="H325">
        <v>9</v>
      </c>
      <c r="I325" t="str">
        <f t="shared" si="32"/>
        <v>Good</v>
      </c>
      <c r="J325">
        <v>30</v>
      </c>
      <c r="K325" s="1">
        <f t="shared" si="33"/>
        <v>1.25</v>
      </c>
      <c r="L325" s="1" t="str">
        <f t="shared" si="34"/>
        <v>Sedentary</v>
      </c>
      <c r="M325">
        <v>3</v>
      </c>
      <c r="N325" t="s">
        <v>19</v>
      </c>
      <c r="O325" t="s">
        <v>20</v>
      </c>
      <c r="P325">
        <v>65</v>
      </c>
      <c r="Q325">
        <v>5000</v>
      </c>
      <c r="R325" t="str">
        <f t="shared" si="35"/>
        <v>Half Achieved</v>
      </c>
      <c r="S325" t="s">
        <v>17</v>
      </c>
    </row>
    <row r="326" spans="1:19" x14ac:dyDescent="0.25">
      <c r="A326">
        <v>325</v>
      </c>
      <c r="B326" t="s">
        <v>28</v>
      </c>
      <c r="C326">
        <v>53</v>
      </c>
      <c r="D326" t="str">
        <f t="shared" si="30"/>
        <v>50's</v>
      </c>
      <c r="E326" t="s">
        <v>33</v>
      </c>
      <c r="F326">
        <v>8.3000000000000007</v>
      </c>
      <c r="G326" t="str">
        <f t="shared" si="31"/>
        <v>Good</v>
      </c>
      <c r="H326">
        <v>9</v>
      </c>
      <c r="I326" t="str">
        <f t="shared" si="32"/>
        <v>Good</v>
      </c>
      <c r="J326">
        <v>30</v>
      </c>
      <c r="K326" s="1">
        <f t="shared" si="33"/>
        <v>1.25</v>
      </c>
      <c r="L326" s="1" t="str">
        <f t="shared" si="34"/>
        <v>Sedentary</v>
      </c>
      <c r="M326">
        <v>3</v>
      </c>
      <c r="N326" t="s">
        <v>19</v>
      </c>
      <c r="O326" t="s">
        <v>20</v>
      </c>
      <c r="P326">
        <v>65</v>
      </c>
      <c r="Q326">
        <v>5000</v>
      </c>
      <c r="R326" t="str">
        <f t="shared" si="35"/>
        <v>Half Achieved</v>
      </c>
      <c r="S326" t="s">
        <v>17</v>
      </c>
    </row>
    <row r="327" spans="1:19" x14ac:dyDescent="0.25">
      <c r="A327">
        <v>326</v>
      </c>
      <c r="B327" t="s">
        <v>28</v>
      </c>
      <c r="C327">
        <v>53</v>
      </c>
      <c r="D327" t="str">
        <f t="shared" si="30"/>
        <v>50's</v>
      </c>
      <c r="E327" t="s">
        <v>33</v>
      </c>
      <c r="F327">
        <v>8.5</v>
      </c>
      <c r="G327" t="str">
        <f t="shared" si="31"/>
        <v>Good</v>
      </c>
      <c r="H327">
        <v>9</v>
      </c>
      <c r="I327" t="str">
        <f t="shared" si="32"/>
        <v>Good</v>
      </c>
      <c r="J327">
        <v>30</v>
      </c>
      <c r="K327" s="1">
        <f t="shared" si="33"/>
        <v>1.25</v>
      </c>
      <c r="L327" s="1" t="str">
        <f t="shared" si="34"/>
        <v>Sedentary</v>
      </c>
      <c r="M327">
        <v>3</v>
      </c>
      <c r="N327" t="s">
        <v>19</v>
      </c>
      <c r="O327" t="s">
        <v>20</v>
      </c>
      <c r="P327">
        <v>65</v>
      </c>
      <c r="Q327">
        <v>5000</v>
      </c>
      <c r="R327" t="str">
        <f t="shared" si="35"/>
        <v>Half Achieved</v>
      </c>
      <c r="S327" t="s">
        <v>17</v>
      </c>
    </row>
    <row r="328" spans="1:19" x14ac:dyDescent="0.25">
      <c r="A328">
        <v>327</v>
      </c>
      <c r="B328" t="s">
        <v>28</v>
      </c>
      <c r="C328">
        <v>53</v>
      </c>
      <c r="D328" t="str">
        <f t="shared" si="30"/>
        <v>50's</v>
      </c>
      <c r="E328" t="s">
        <v>33</v>
      </c>
      <c r="F328">
        <v>8.3000000000000007</v>
      </c>
      <c r="G328" t="str">
        <f t="shared" si="31"/>
        <v>Good</v>
      </c>
      <c r="H328">
        <v>9</v>
      </c>
      <c r="I328" t="str">
        <f t="shared" si="32"/>
        <v>Good</v>
      </c>
      <c r="J328">
        <v>30</v>
      </c>
      <c r="K328" s="1">
        <f t="shared" si="33"/>
        <v>1.25</v>
      </c>
      <c r="L328" s="1" t="str">
        <f t="shared" si="34"/>
        <v>Sedentary</v>
      </c>
      <c r="M328">
        <v>3</v>
      </c>
      <c r="N328" t="s">
        <v>19</v>
      </c>
      <c r="O328" t="s">
        <v>20</v>
      </c>
      <c r="P328">
        <v>65</v>
      </c>
      <c r="Q328">
        <v>5000</v>
      </c>
      <c r="R328" t="str">
        <f t="shared" si="35"/>
        <v>Half Achieved</v>
      </c>
      <c r="S328" t="s">
        <v>17</v>
      </c>
    </row>
    <row r="329" spans="1:19" x14ac:dyDescent="0.25">
      <c r="A329">
        <v>328</v>
      </c>
      <c r="B329" t="s">
        <v>28</v>
      </c>
      <c r="C329">
        <v>53</v>
      </c>
      <c r="D329" t="str">
        <f t="shared" si="30"/>
        <v>50's</v>
      </c>
      <c r="E329" t="s">
        <v>33</v>
      </c>
      <c r="F329">
        <v>8.5</v>
      </c>
      <c r="G329" t="str">
        <f t="shared" si="31"/>
        <v>Good</v>
      </c>
      <c r="H329">
        <v>9</v>
      </c>
      <c r="I329" t="str">
        <f t="shared" si="32"/>
        <v>Good</v>
      </c>
      <c r="J329">
        <v>30</v>
      </c>
      <c r="K329" s="1">
        <f t="shared" si="33"/>
        <v>1.25</v>
      </c>
      <c r="L329" s="1" t="str">
        <f t="shared" si="34"/>
        <v>Sedentary</v>
      </c>
      <c r="M329">
        <v>3</v>
      </c>
      <c r="N329" t="s">
        <v>19</v>
      </c>
      <c r="O329" t="s">
        <v>20</v>
      </c>
      <c r="P329">
        <v>65</v>
      </c>
      <c r="Q329">
        <v>5000</v>
      </c>
      <c r="R329" t="str">
        <f t="shared" si="35"/>
        <v>Half Achieved</v>
      </c>
      <c r="S329" t="s">
        <v>17</v>
      </c>
    </row>
    <row r="330" spans="1:19" x14ac:dyDescent="0.25">
      <c r="A330">
        <v>329</v>
      </c>
      <c r="B330" t="s">
        <v>28</v>
      </c>
      <c r="C330">
        <v>53</v>
      </c>
      <c r="D330" t="str">
        <f t="shared" si="30"/>
        <v>50's</v>
      </c>
      <c r="E330" t="s">
        <v>33</v>
      </c>
      <c r="F330">
        <v>8.3000000000000007</v>
      </c>
      <c r="G330" t="str">
        <f t="shared" si="31"/>
        <v>Good</v>
      </c>
      <c r="H330">
        <v>9</v>
      </c>
      <c r="I330" t="str">
        <f t="shared" si="32"/>
        <v>Good</v>
      </c>
      <c r="J330">
        <v>30</v>
      </c>
      <c r="K330" s="1">
        <f t="shared" si="33"/>
        <v>1.25</v>
      </c>
      <c r="L330" s="1" t="str">
        <f t="shared" si="34"/>
        <v>Sedentary</v>
      </c>
      <c r="M330">
        <v>3</v>
      </c>
      <c r="N330" t="s">
        <v>19</v>
      </c>
      <c r="O330" t="s">
        <v>20</v>
      </c>
      <c r="P330">
        <v>65</v>
      </c>
      <c r="Q330">
        <v>5000</v>
      </c>
      <c r="R330" t="str">
        <f t="shared" si="35"/>
        <v>Half Achieved</v>
      </c>
      <c r="S330" t="s">
        <v>17</v>
      </c>
    </row>
    <row r="331" spans="1:19" x14ac:dyDescent="0.25">
      <c r="A331">
        <v>330</v>
      </c>
      <c r="B331" t="s">
        <v>28</v>
      </c>
      <c r="C331">
        <v>53</v>
      </c>
      <c r="D331" t="str">
        <f t="shared" si="30"/>
        <v>50's</v>
      </c>
      <c r="E331" t="s">
        <v>33</v>
      </c>
      <c r="F331">
        <v>8.5</v>
      </c>
      <c r="G331" t="str">
        <f t="shared" si="31"/>
        <v>Good</v>
      </c>
      <c r="H331">
        <v>9</v>
      </c>
      <c r="I331" t="str">
        <f t="shared" si="32"/>
        <v>Good</v>
      </c>
      <c r="J331">
        <v>30</v>
      </c>
      <c r="K331" s="1">
        <f t="shared" si="33"/>
        <v>1.25</v>
      </c>
      <c r="L331" s="1" t="str">
        <f t="shared" si="34"/>
        <v>Sedentary</v>
      </c>
      <c r="M331">
        <v>3</v>
      </c>
      <c r="N331" t="s">
        <v>19</v>
      </c>
      <c r="O331" t="s">
        <v>20</v>
      </c>
      <c r="P331">
        <v>65</v>
      </c>
      <c r="Q331">
        <v>5000</v>
      </c>
      <c r="R331" t="str">
        <f t="shared" si="35"/>
        <v>Half Achieved</v>
      </c>
      <c r="S331" t="s">
        <v>17</v>
      </c>
    </row>
    <row r="332" spans="1:19" x14ac:dyDescent="0.25">
      <c r="A332">
        <v>331</v>
      </c>
      <c r="B332" t="s">
        <v>28</v>
      </c>
      <c r="C332">
        <v>53</v>
      </c>
      <c r="D332" t="str">
        <f t="shared" si="30"/>
        <v>50's</v>
      </c>
      <c r="E332" t="s">
        <v>33</v>
      </c>
      <c r="F332">
        <v>8.5</v>
      </c>
      <c r="G332" t="str">
        <f t="shared" si="31"/>
        <v>Good</v>
      </c>
      <c r="H332">
        <v>9</v>
      </c>
      <c r="I332" t="str">
        <f t="shared" si="32"/>
        <v>Good</v>
      </c>
      <c r="J332">
        <v>30</v>
      </c>
      <c r="K332" s="1">
        <f t="shared" si="33"/>
        <v>1.25</v>
      </c>
      <c r="L332" s="1" t="str">
        <f t="shared" si="34"/>
        <v>Sedentary</v>
      </c>
      <c r="M332">
        <v>3</v>
      </c>
      <c r="N332" t="s">
        <v>19</v>
      </c>
      <c r="O332" t="s">
        <v>20</v>
      </c>
      <c r="P332">
        <v>65</v>
      </c>
      <c r="Q332">
        <v>5000</v>
      </c>
      <c r="R332" t="str">
        <f t="shared" si="35"/>
        <v>Half Achieved</v>
      </c>
      <c r="S332" t="s">
        <v>17</v>
      </c>
    </row>
    <row r="333" spans="1:19" x14ac:dyDescent="0.25">
      <c r="A333">
        <v>332</v>
      </c>
      <c r="B333" t="s">
        <v>28</v>
      </c>
      <c r="C333">
        <v>53</v>
      </c>
      <c r="D333" t="str">
        <f t="shared" si="30"/>
        <v>50's</v>
      </c>
      <c r="E333" t="s">
        <v>33</v>
      </c>
      <c r="F333">
        <v>8.4</v>
      </c>
      <c r="G333" t="str">
        <f t="shared" si="31"/>
        <v>Good</v>
      </c>
      <c r="H333">
        <v>9</v>
      </c>
      <c r="I333" t="str">
        <f t="shared" si="32"/>
        <v>Good</v>
      </c>
      <c r="J333">
        <v>30</v>
      </c>
      <c r="K333" s="1">
        <f t="shared" si="33"/>
        <v>1.25</v>
      </c>
      <c r="L333" s="1" t="str">
        <f t="shared" si="34"/>
        <v>Sedentary</v>
      </c>
      <c r="M333">
        <v>3</v>
      </c>
      <c r="N333" t="s">
        <v>19</v>
      </c>
      <c r="O333" t="s">
        <v>20</v>
      </c>
      <c r="P333">
        <v>65</v>
      </c>
      <c r="Q333">
        <v>5000</v>
      </c>
      <c r="R333" t="str">
        <f t="shared" si="35"/>
        <v>Half Achieved</v>
      </c>
      <c r="S333" t="s">
        <v>17</v>
      </c>
    </row>
    <row r="334" spans="1:19" x14ac:dyDescent="0.25">
      <c r="A334">
        <v>333</v>
      </c>
      <c r="B334" t="s">
        <v>28</v>
      </c>
      <c r="C334">
        <v>54</v>
      </c>
      <c r="D334" t="str">
        <f t="shared" si="30"/>
        <v>50's</v>
      </c>
      <c r="E334" t="s">
        <v>33</v>
      </c>
      <c r="F334">
        <v>8.4</v>
      </c>
      <c r="G334" t="str">
        <f t="shared" si="31"/>
        <v>Good</v>
      </c>
      <c r="H334">
        <v>9</v>
      </c>
      <c r="I334" t="str">
        <f t="shared" si="32"/>
        <v>Good</v>
      </c>
      <c r="J334">
        <v>30</v>
      </c>
      <c r="K334" s="1">
        <f t="shared" si="33"/>
        <v>1.25</v>
      </c>
      <c r="L334" s="1" t="str">
        <f t="shared" si="34"/>
        <v>Sedentary</v>
      </c>
      <c r="M334">
        <v>3</v>
      </c>
      <c r="N334" t="s">
        <v>19</v>
      </c>
      <c r="O334" t="s">
        <v>20</v>
      </c>
      <c r="P334">
        <v>65</v>
      </c>
      <c r="Q334">
        <v>5000</v>
      </c>
      <c r="R334" t="str">
        <f t="shared" si="35"/>
        <v>Half Achieved</v>
      </c>
      <c r="S334" t="s">
        <v>17</v>
      </c>
    </row>
    <row r="335" spans="1:19" x14ac:dyDescent="0.25">
      <c r="A335">
        <v>334</v>
      </c>
      <c r="B335" t="s">
        <v>28</v>
      </c>
      <c r="C335">
        <v>54</v>
      </c>
      <c r="D335" t="str">
        <f t="shared" si="30"/>
        <v>50's</v>
      </c>
      <c r="E335" t="s">
        <v>33</v>
      </c>
      <c r="F335">
        <v>8.4</v>
      </c>
      <c r="G335" t="str">
        <f t="shared" si="31"/>
        <v>Good</v>
      </c>
      <c r="H335">
        <v>9</v>
      </c>
      <c r="I335" t="str">
        <f t="shared" si="32"/>
        <v>Good</v>
      </c>
      <c r="J335">
        <v>30</v>
      </c>
      <c r="K335" s="1">
        <f t="shared" si="33"/>
        <v>1.25</v>
      </c>
      <c r="L335" s="1" t="str">
        <f t="shared" si="34"/>
        <v>Sedentary</v>
      </c>
      <c r="M335">
        <v>3</v>
      </c>
      <c r="N335" t="s">
        <v>19</v>
      </c>
      <c r="O335" t="s">
        <v>20</v>
      </c>
      <c r="P335">
        <v>65</v>
      </c>
      <c r="Q335">
        <v>5000</v>
      </c>
      <c r="R335" t="str">
        <f t="shared" si="35"/>
        <v>Half Achieved</v>
      </c>
      <c r="S335" t="s">
        <v>17</v>
      </c>
    </row>
    <row r="336" spans="1:19" x14ac:dyDescent="0.25">
      <c r="A336">
        <v>335</v>
      </c>
      <c r="B336" t="s">
        <v>28</v>
      </c>
      <c r="C336">
        <v>54</v>
      </c>
      <c r="D336" t="str">
        <f t="shared" si="30"/>
        <v>50's</v>
      </c>
      <c r="E336" t="s">
        <v>33</v>
      </c>
      <c r="F336">
        <v>8.4</v>
      </c>
      <c r="G336" t="str">
        <f t="shared" si="31"/>
        <v>Good</v>
      </c>
      <c r="H336">
        <v>9</v>
      </c>
      <c r="I336" t="str">
        <f t="shared" si="32"/>
        <v>Good</v>
      </c>
      <c r="J336">
        <v>30</v>
      </c>
      <c r="K336" s="1">
        <f t="shared" si="33"/>
        <v>1.25</v>
      </c>
      <c r="L336" s="1" t="str">
        <f t="shared" si="34"/>
        <v>Sedentary</v>
      </c>
      <c r="M336">
        <v>3</v>
      </c>
      <c r="N336" t="s">
        <v>19</v>
      </c>
      <c r="O336" t="s">
        <v>20</v>
      </c>
      <c r="P336">
        <v>65</v>
      </c>
      <c r="Q336">
        <v>5000</v>
      </c>
      <c r="R336" t="str">
        <f t="shared" si="35"/>
        <v>Half Achieved</v>
      </c>
      <c r="S336" t="s">
        <v>17</v>
      </c>
    </row>
    <row r="337" spans="1:19" x14ac:dyDescent="0.25">
      <c r="A337">
        <v>336</v>
      </c>
      <c r="B337" t="s">
        <v>28</v>
      </c>
      <c r="C337">
        <v>54</v>
      </c>
      <c r="D337" t="str">
        <f t="shared" si="30"/>
        <v>50's</v>
      </c>
      <c r="E337" t="s">
        <v>33</v>
      </c>
      <c r="F337">
        <v>8.4</v>
      </c>
      <c r="G337" t="str">
        <f t="shared" si="31"/>
        <v>Good</v>
      </c>
      <c r="H337">
        <v>9</v>
      </c>
      <c r="I337" t="str">
        <f t="shared" si="32"/>
        <v>Good</v>
      </c>
      <c r="J337">
        <v>30</v>
      </c>
      <c r="K337" s="1">
        <f t="shared" si="33"/>
        <v>1.25</v>
      </c>
      <c r="L337" s="1" t="str">
        <f t="shared" si="34"/>
        <v>Sedentary</v>
      </c>
      <c r="M337">
        <v>3</v>
      </c>
      <c r="N337" t="s">
        <v>19</v>
      </c>
      <c r="O337" t="s">
        <v>20</v>
      </c>
      <c r="P337">
        <v>65</v>
      </c>
      <c r="Q337">
        <v>5000</v>
      </c>
      <c r="R337" t="str">
        <f t="shared" si="35"/>
        <v>Half Achieved</v>
      </c>
      <c r="S337" t="s">
        <v>17</v>
      </c>
    </row>
    <row r="338" spans="1:19" x14ac:dyDescent="0.25">
      <c r="A338">
        <v>337</v>
      </c>
      <c r="B338" t="s">
        <v>28</v>
      </c>
      <c r="C338">
        <v>54</v>
      </c>
      <c r="D338" t="str">
        <f t="shared" si="30"/>
        <v>50's</v>
      </c>
      <c r="E338" t="s">
        <v>33</v>
      </c>
      <c r="F338">
        <v>8.4</v>
      </c>
      <c r="G338" t="str">
        <f t="shared" si="31"/>
        <v>Good</v>
      </c>
      <c r="H338">
        <v>9</v>
      </c>
      <c r="I338" t="str">
        <f t="shared" si="32"/>
        <v>Good</v>
      </c>
      <c r="J338">
        <v>30</v>
      </c>
      <c r="K338" s="1">
        <f t="shared" si="33"/>
        <v>1.25</v>
      </c>
      <c r="L338" s="1" t="str">
        <f t="shared" si="34"/>
        <v>Sedentary</v>
      </c>
      <c r="M338">
        <v>3</v>
      </c>
      <c r="N338" t="s">
        <v>19</v>
      </c>
      <c r="O338" t="s">
        <v>20</v>
      </c>
      <c r="P338">
        <v>65</v>
      </c>
      <c r="Q338">
        <v>5000</v>
      </c>
      <c r="R338" t="str">
        <f t="shared" si="35"/>
        <v>Half Achieved</v>
      </c>
      <c r="S338" t="s">
        <v>17</v>
      </c>
    </row>
    <row r="339" spans="1:19" x14ac:dyDescent="0.25">
      <c r="A339">
        <v>338</v>
      </c>
      <c r="B339" t="s">
        <v>28</v>
      </c>
      <c r="C339">
        <v>54</v>
      </c>
      <c r="D339" t="str">
        <f t="shared" si="30"/>
        <v>50's</v>
      </c>
      <c r="E339" t="s">
        <v>33</v>
      </c>
      <c r="F339">
        <v>8.4</v>
      </c>
      <c r="G339" t="str">
        <f t="shared" si="31"/>
        <v>Good</v>
      </c>
      <c r="H339">
        <v>9</v>
      </c>
      <c r="I339" t="str">
        <f t="shared" si="32"/>
        <v>Good</v>
      </c>
      <c r="J339">
        <v>30</v>
      </c>
      <c r="K339" s="1">
        <f t="shared" si="33"/>
        <v>1.25</v>
      </c>
      <c r="L339" s="1" t="str">
        <f t="shared" si="34"/>
        <v>Sedentary</v>
      </c>
      <c r="M339">
        <v>3</v>
      </c>
      <c r="N339" t="s">
        <v>19</v>
      </c>
      <c r="O339" t="s">
        <v>20</v>
      </c>
      <c r="P339">
        <v>65</v>
      </c>
      <c r="Q339">
        <v>5000</v>
      </c>
      <c r="R339" t="str">
        <f t="shared" si="35"/>
        <v>Half Achieved</v>
      </c>
      <c r="S339" t="s">
        <v>17</v>
      </c>
    </row>
    <row r="340" spans="1:19" x14ac:dyDescent="0.25">
      <c r="A340">
        <v>339</v>
      </c>
      <c r="B340" t="s">
        <v>28</v>
      </c>
      <c r="C340">
        <v>54</v>
      </c>
      <c r="D340" t="str">
        <f t="shared" si="30"/>
        <v>50's</v>
      </c>
      <c r="E340" t="s">
        <v>33</v>
      </c>
      <c r="F340">
        <v>8.5</v>
      </c>
      <c r="G340" t="str">
        <f t="shared" si="31"/>
        <v>Good</v>
      </c>
      <c r="H340">
        <v>9</v>
      </c>
      <c r="I340" t="str">
        <f t="shared" si="32"/>
        <v>Good</v>
      </c>
      <c r="J340">
        <v>30</v>
      </c>
      <c r="K340" s="1">
        <f t="shared" si="33"/>
        <v>1.25</v>
      </c>
      <c r="L340" s="1" t="str">
        <f t="shared" si="34"/>
        <v>Sedentary</v>
      </c>
      <c r="M340">
        <v>3</v>
      </c>
      <c r="N340" t="s">
        <v>19</v>
      </c>
      <c r="O340" t="s">
        <v>20</v>
      </c>
      <c r="P340">
        <v>65</v>
      </c>
      <c r="Q340">
        <v>5000</v>
      </c>
      <c r="R340" t="str">
        <f t="shared" si="35"/>
        <v>Half Achieved</v>
      </c>
      <c r="S340" t="s">
        <v>17</v>
      </c>
    </row>
    <row r="341" spans="1:19" x14ac:dyDescent="0.25">
      <c r="A341">
        <v>340</v>
      </c>
      <c r="B341" t="s">
        <v>28</v>
      </c>
      <c r="C341">
        <v>55</v>
      </c>
      <c r="D341" t="str">
        <f t="shared" si="30"/>
        <v>50's</v>
      </c>
      <c r="E341" t="s">
        <v>29</v>
      </c>
      <c r="F341">
        <v>8.1</v>
      </c>
      <c r="G341" t="str">
        <f t="shared" si="31"/>
        <v>Good</v>
      </c>
      <c r="H341">
        <v>9</v>
      </c>
      <c r="I341" t="str">
        <f t="shared" si="32"/>
        <v>Good</v>
      </c>
      <c r="J341">
        <v>75</v>
      </c>
      <c r="K341" s="1">
        <f t="shared" si="33"/>
        <v>3.125</v>
      </c>
      <c r="L341" s="1" t="str">
        <f t="shared" si="34"/>
        <v>Highly Active</v>
      </c>
      <c r="M341">
        <v>4</v>
      </c>
      <c r="N341" t="s">
        <v>15</v>
      </c>
      <c r="O341" t="s">
        <v>54</v>
      </c>
      <c r="P341">
        <v>72</v>
      </c>
      <c r="Q341">
        <v>5000</v>
      </c>
      <c r="R341" t="str">
        <f t="shared" si="35"/>
        <v>Half Achieved</v>
      </c>
      <c r="S341" t="s">
        <v>24</v>
      </c>
    </row>
    <row r="342" spans="1:19" x14ac:dyDescent="0.25">
      <c r="A342">
        <v>341</v>
      </c>
      <c r="B342" t="s">
        <v>28</v>
      </c>
      <c r="C342">
        <v>55</v>
      </c>
      <c r="D342" t="str">
        <f t="shared" si="30"/>
        <v>50's</v>
      </c>
      <c r="E342" t="s">
        <v>29</v>
      </c>
      <c r="F342">
        <v>8.1</v>
      </c>
      <c r="G342" t="str">
        <f t="shared" si="31"/>
        <v>Good</v>
      </c>
      <c r="H342">
        <v>9</v>
      </c>
      <c r="I342" t="str">
        <f t="shared" si="32"/>
        <v>Good</v>
      </c>
      <c r="J342">
        <v>75</v>
      </c>
      <c r="K342" s="1">
        <f t="shared" si="33"/>
        <v>3.125</v>
      </c>
      <c r="L342" s="1" t="str">
        <f t="shared" si="34"/>
        <v>Highly Active</v>
      </c>
      <c r="M342">
        <v>4</v>
      </c>
      <c r="N342" t="s">
        <v>15</v>
      </c>
      <c r="O342" t="s">
        <v>54</v>
      </c>
      <c r="P342">
        <v>72</v>
      </c>
      <c r="Q342">
        <v>5000</v>
      </c>
      <c r="R342" t="str">
        <f t="shared" si="35"/>
        <v>Half Achieved</v>
      </c>
      <c r="S342" t="s">
        <v>24</v>
      </c>
    </row>
    <row r="343" spans="1:19" x14ac:dyDescent="0.25">
      <c r="A343">
        <v>342</v>
      </c>
      <c r="B343" t="s">
        <v>28</v>
      </c>
      <c r="C343">
        <v>56</v>
      </c>
      <c r="D343" t="str">
        <f t="shared" si="30"/>
        <v>50's</v>
      </c>
      <c r="E343" t="s">
        <v>18</v>
      </c>
      <c r="F343">
        <v>8.1999999999999993</v>
      </c>
      <c r="G343" t="str">
        <f t="shared" si="31"/>
        <v>Good</v>
      </c>
      <c r="H343">
        <v>9</v>
      </c>
      <c r="I343" t="str">
        <f t="shared" si="32"/>
        <v>Good</v>
      </c>
      <c r="J343">
        <v>90</v>
      </c>
      <c r="K343" s="1">
        <f t="shared" si="33"/>
        <v>3.75</v>
      </c>
      <c r="L343" s="1" t="str">
        <f t="shared" si="34"/>
        <v>Highly Active</v>
      </c>
      <c r="M343">
        <v>3</v>
      </c>
      <c r="N343" t="s">
        <v>19</v>
      </c>
      <c r="O343" t="s">
        <v>56</v>
      </c>
      <c r="P343">
        <v>65</v>
      </c>
      <c r="Q343">
        <v>10000</v>
      </c>
      <c r="R343" t="str">
        <f t="shared" si="35"/>
        <v>Steps Achieved</v>
      </c>
      <c r="S343" t="s">
        <v>17</v>
      </c>
    </row>
    <row r="344" spans="1:19" x14ac:dyDescent="0.25">
      <c r="A344">
        <v>343</v>
      </c>
      <c r="B344" t="s">
        <v>28</v>
      </c>
      <c r="C344">
        <v>56</v>
      </c>
      <c r="D344" t="str">
        <f t="shared" si="30"/>
        <v>50's</v>
      </c>
      <c r="E344" t="s">
        <v>18</v>
      </c>
      <c r="F344">
        <v>8.1999999999999993</v>
      </c>
      <c r="G344" t="str">
        <f t="shared" si="31"/>
        <v>Good</v>
      </c>
      <c r="H344">
        <v>9</v>
      </c>
      <c r="I344" t="str">
        <f t="shared" si="32"/>
        <v>Good</v>
      </c>
      <c r="J344">
        <v>90</v>
      </c>
      <c r="K344" s="1">
        <f t="shared" si="33"/>
        <v>3.75</v>
      </c>
      <c r="L344" s="1" t="str">
        <f t="shared" si="34"/>
        <v>Highly Active</v>
      </c>
      <c r="M344">
        <v>3</v>
      </c>
      <c r="N344" t="s">
        <v>19</v>
      </c>
      <c r="O344" t="s">
        <v>56</v>
      </c>
      <c r="P344">
        <v>65</v>
      </c>
      <c r="Q344">
        <v>10000</v>
      </c>
      <c r="R344" t="str">
        <f t="shared" si="35"/>
        <v>Steps Achieved</v>
      </c>
      <c r="S344" t="s">
        <v>17</v>
      </c>
    </row>
    <row r="345" spans="1:19" x14ac:dyDescent="0.25">
      <c r="A345">
        <v>344</v>
      </c>
      <c r="B345" t="s">
        <v>28</v>
      </c>
      <c r="C345">
        <v>57</v>
      </c>
      <c r="D345" t="str">
        <f t="shared" si="30"/>
        <v>50's</v>
      </c>
      <c r="E345" t="s">
        <v>29</v>
      </c>
      <c r="F345">
        <v>8.1</v>
      </c>
      <c r="G345" t="str">
        <f t="shared" si="31"/>
        <v>Good</v>
      </c>
      <c r="H345">
        <v>9</v>
      </c>
      <c r="I345" t="str">
        <f t="shared" si="32"/>
        <v>Good</v>
      </c>
      <c r="J345">
        <v>75</v>
      </c>
      <c r="K345" s="1">
        <f t="shared" si="33"/>
        <v>3.125</v>
      </c>
      <c r="L345" s="1" t="str">
        <f t="shared" si="34"/>
        <v>Highly Active</v>
      </c>
      <c r="M345">
        <v>3</v>
      </c>
      <c r="N345" t="s">
        <v>15</v>
      </c>
      <c r="O345" t="s">
        <v>54</v>
      </c>
      <c r="P345">
        <v>68</v>
      </c>
      <c r="Q345">
        <v>7000</v>
      </c>
      <c r="R345" t="str">
        <f t="shared" si="35"/>
        <v>Half Achieved</v>
      </c>
      <c r="S345" t="s">
        <v>17</v>
      </c>
    </row>
    <row r="346" spans="1:19" x14ac:dyDescent="0.25">
      <c r="A346">
        <v>345</v>
      </c>
      <c r="B346" t="s">
        <v>28</v>
      </c>
      <c r="C346">
        <v>57</v>
      </c>
      <c r="D346" t="str">
        <f t="shared" si="30"/>
        <v>50's</v>
      </c>
      <c r="E346" t="s">
        <v>29</v>
      </c>
      <c r="F346">
        <v>8.1999999999999993</v>
      </c>
      <c r="G346" t="str">
        <f t="shared" si="31"/>
        <v>Good</v>
      </c>
      <c r="H346">
        <v>9</v>
      </c>
      <c r="I346" t="str">
        <f t="shared" si="32"/>
        <v>Good</v>
      </c>
      <c r="J346">
        <v>75</v>
      </c>
      <c r="K346" s="1">
        <f t="shared" si="33"/>
        <v>3.125</v>
      </c>
      <c r="L346" s="1" t="str">
        <f t="shared" si="34"/>
        <v>Highly Active</v>
      </c>
      <c r="M346">
        <v>3</v>
      </c>
      <c r="N346" t="s">
        <v>15</v>
      </c>
      <c r="O346" t="s">
        <v>54</v>
      </c>
      <c r="P346">
        <v>68</v>
      </c>
      <c r="Q346">
        <v>7000</v>
      </c>
      <c r="R346" t="str">
        <f t="shared" si="35"/>
        <v>Half Achieved</v>
      </c>
      <c r="S346" t="s">
        <v>24</v>
      </c>
    </row>
    <row r="347" spans="1:19" x14ac:dyDescent="0.25">
      <c r="A347">
        <v>346</v>
      </c>
      <c r="B347" t="s">
        <v>28</v>
      </c>
      <c r="C347">
        <v>57</v>
      </c>
      <c r="D347" t="str">
        <f t="shared" si="30"/>
        <v>50's</v>
      </c>
      <c r="E347" t="s">
        <v>29</v>
      </c>
      <c r="F347">
        <v>8.1999999999999993</v>
      </c>
      <c r="G347" t="str">
        <f t="shared" si="31"/>
        <v>Good</v>
      </c>
      <c r="H347">
        <v>9</v>
      </c>
      <c r="I347" t="str">
        <f t="shared" si="32"/>
        <v>Good</v>
      </c>
      <c r="J347">
        <v>75</v>
      </c>
      <c r="K347" s="1">
        <f t="shared" si="33"/>
        <v>3.125</v>
      </c>
      <c r="L347" s="1" t="str">
        <f t="shared" si="34"/>
        <v>Highly Active</v>
      </c>
      <c r="M347">
        <v>3</v>
      </c>
      <c r="N347" t="s">
        <v>15</v>
      </c>
      <c r="O347" t="s">
        <v>54</v>
      </c>
      <c r="P347">
        <v>68</v>
      </c>
      <c r="Q347">
        <v>7000</v>
      </c>
      <c r="R347" t="str">
        <f t="shared" si="35"/>
        <v>Half Achieved</v>
      </c>
      <c r="S347" t="s">
        <v>24</v>
      </c>
    </row>
    <row r="348" spans="1:19" x14ac:dyDescent="0.25">
      <c r="A348">
        <v>347</v>
      </c>
      <c r="B348" t="s">
        <v>28</v>
      </c>
      <c r="C348">
        <v>57</v>
      </c>
      <c r="D348" t="str">
        <f t="shared" si="30"/>
        <v>50's</v>
      </c>
      <c r="E348" t="s">
        <v>29</v>
      </c>
      <c r="F348">
        <v>8.1999999999999993</v>
      </c>
      <c r="G348" t="str">
        <f t="shared" si="31"/>
        <v>Good</v>
      </c>
      <c r="H348">
        <v>9</v>
      </c>
      <c r="I348" t="str">
        <f t="shared" si="32"/>
        <v>Good</v>
      </c>
      <c r="J348">
        <v>75</v>
      </c>
      <c r="K348" s="1">
        <f t="shared" si="33"/>
        <v>3.125</v>
      </c>
      <c r="L348" s="1" t="str">
        <f t="shared" si="34"/>
        <v>Highly Active</v>
      </c>
      <c r="M348">
        <v>3</v>
      </c>
      <c r="N348" t="s">
        <v>15</v>
      </c>
      <c r="O348" t="s">
        <v>54</v>
      </c>
      <c r="P348">
        <v>68</v>
      </c>
      <c r="Q348">
        <v>7000</v>
      </c>
      <c r="R348" t="str">
        <f t="shared" si="35"/>
        <v>Half Achieved</v>
      </c>
      <c r="S348" t="s">
        <v>24</v>
      </c>
    </row>
    <row r="349" spans="1:19" x14ac:dyDescent="0.25">
      <c r="A349">
        <v>348</v>
      </c>
      <c r="B349" t="s">
        <v>28</v>
      </c>
      <c r="C349">
        <v>57</v>
      </c>
      <c r="D349" t="str">
        <f t="shared" si="30"/>
        <v>50's</v>
      </c>
      <c r="E349" t="s">
        <v>29</v>
      </c>
      <c r="F349">
        <v>8.1999999999999993</v>
      </c>
      <c r="G349" t="str">
        <f t="shared" si="31"/>
        <v>Good</v>
      </c>
      <c r="H349">
        <v>9</v>
      </c>
      <c r="I349" t="str">
        <f t="shared" si="32"/>
        <v>Good</v>
      </c>
      <c r="J349">
        <v>75</v>
      </c>
      <c r="K349" s="1">
        <f t="shared" si="33"/>
        <v>3.125</v>
      </c>
      <c r="L349" s="1" t="str">
        <f t="shared" si="34"/>
        <v>Highly Active</v>
      </c>
      <c r="M349">
        <v>3</v>
      </c>
      <c r="N349" t="s">
        <v>15</v>
      </c>
      <c r="O349" t="s">
        <v>54</v>
      </c>
      <c r="P349">
        <v>68</v>
      </c>
      <c r="Q349">
        <v>7000</v>
      </c>
      <c r="R349" t="str">
        <f t="shared" si="35"/>
        <v>Half Achieved</v>
      </c>
      <c r="S349" t="s">
        <v>24</v>
      </c>
    </row>
    <row r="350" spans="1:19" x14ac:dyDescent="0.25">
      <c r="A350">
        <v>349</v>
      </c>
      <c r="B350" t="s">
        <v>28</v>
      </c>
      <c r="C350">
        <v>57</v>
      </c>
      <c r="D350" t="str">
        <f t="shared" si="30"/>
        <v>50's</v>
      </c>
      <c r="E350" t="s">
        <v>29</v>
      </c>
      <c r="F350">
        <v>8.1999999999999993</v>
      </c>
      <c r="G350" t="str">
        <f t="shared" si="31"/>
        <v>Good</v>
      </c>
      <c r="H350">
        <v>9</v>
      </c>
      <c r="I350" t="str">
        <f t="shared" si="32"/>
        <v>Good</v>
      </c>
      <c r="J350">
        <v>75</v>
      </c>
      <c r="K350" s="1">
        <f t="shared" si="33"/>
        <v>3.125</v>
      </c>
      <c r="L350" s="1" t="str">
        <f t="shared" si="34"/>
        <v>Highly Active</v>
      </c>
      <c r="M350">
        <v>3</v>
      </c>
      <c r="N350" t="s">
        <v>15</v>
      </c>
      <c r="O350" t="s">
        <v>54</v>
      </c>
      <c r="P350">
        <v>68</v>
      </c>
      <c r="Q350">
        <v>7000</v>
      </c>
      <c r="R350" t="str">
        <f t="shared" si="35"/>
        <v>Half Achieved</v>
      </c>
      <c r="S350" t="s">
        <v>24</v>
      </c>
    </row>
    <row r="351" spans="1:19" x14ac:dyDescent="0.25">
      <c r="A351">
        <v>350</v>
      </c>
      <c r="B351" t="s">
        <v>28</v>
      </c>
      <c r="C351">
        <v>57</v>
      </c>
      <c r="D351" t="str">
        <f t="shared" si="30"/>
        <v>50's</v>
      </c>
      <c r="E351" t="s">
        <v>29</v>
      </c>
      <c r="F351">
        <v>8.1</v>
      </c>
      <c r="G351" t="str">
        <f t="shared" si="31"/>
        <v>Good</v>
      </c>
      <c r="H351">
        <v>9</v>
      </c>
      <c r="I351" t="str">
        <f t="shared" si="32"/>
        <v>Good</v>
      </c>
      <c r="J351">
        <v>75</v>
      </c>
      <c r="K351" s="1">
        <f t="shared" si="33"/>
        <v>3.125</v>
      </c>
      <c r="L351" s="1" t="str">
        <f t="shared" si="34"/>
        <v>Highly Active</v>
      </c>
      <c r="M351">
        <v>3</v>
      </c>
      <c r="N351" t="s">
        <v>15</v>
      </c>
      <c r="O351" t="s">
        <v>54</v>
      </c>
      <c r="P351">
        <v>68</v>
      </c>
      <c r="Q351">
        <v>7000</v>
      </c>
      <c r="R351" t="str">
        <f t="shared" si="35"/>
        <v>Half Achieved</v>
      </c>
      <c r="S351" t="s">
        <v>24</v>
      </c>
    </row>
    <row r="352" spans="1:19" x14ac:dyDescent="0.25">
      <c r="A352">
        <v>351</v>
      </c>
      <c r="B352" t="s">
        <v>28</v>
      </c>
      <c r="C352">
        <v>57</v>
      </c>
      <c r="D352" t="str">
        <f t="shared" si="30"/>
        <v>50's</v>
      </c>
      <c r="E352" t="s">
        <v>29</v>
      </c>
      <c r="F352">
        <v>8.1</v>
      </c>
      <c r="G352" t="str">
        <f t="shared" si="31"/>
        <v>Good</v>
      </c>
      <c r="H352">
        <v>9</v>
      </c>
      <c r="I352" t="str">
        <f t="shared" si="32"/>
        <v>Good</v>
      </c>
      <c r="J352">
        <v>75</v>
      </c>
      <c r="K352" s="1">
        <f t="shared" si="33"/>
        <v>3.125</v>
      </c>
      <c r="L352" s="1" t="str">
        <f t="shared" si="34"/>
        <v>Highly Active</v>
      </c>
      <c r="M352">
        <v>3</v>
      </c>
      <c r="N352" t="s">
        <v>15</v>
      </c>
      <c r="O352" t="s">
        <v>54</v>
      </c>
      <c r="P352">
        <v>68</v>
      </c>
      <c r="Q352">
        <v>7000</v>
      </c>
      <c r="R352" t="str">
        <f t="shared" si="35"/>
        <v>Half Achieved</v>
      </c>
      <c r="S352" t="s">
        <v>24</v>
      </c>
    </row>
    <row r="353" spans="1:19" x14ac:dyDescent="0.25">
      <c r="A353">
        <v>352</v>
      </c>
      <c r="B353" t="s">
        <v>28</v>
      </c>
      <c r="C353">
        <v>57</v>
      </c>
      <c r="D353" t="str">
        <f t="shared" si="30"/>
        <v>50's</v>
      </c>
      <c r="E353" t="s">
        <v>29</v>
      </c>
      <c r="F353">
        <v>8.1</v>
      </c>
      <c r="G353" t="str">
        <f t="shared" si="31"/>
        <v>Good</v>
      </c>
      <c r="H353">
        <v>9</v>
      </c>
      <c r="I353" t="str">
        <f t="shared" si="32"/>
        <v>Good</v>
      </c>
      <c r="J353">
        <v>75</v>
      </c>
      <c r="K353" s="1">
        <f t="shared" si="33"/>
        <v>3.125</v>
      </c>
      <c r="L353" s="1" t="str">
        <f t="shared" si="34"/>
        <v>Highly Active</v>
      </c>
      <c r="M353">
        <v>3</v>
      </c>
      <c r="N353" t="s">
        <v>15</v>
      </c>
      <c r="O353" t="s">
        <v>54</v>
      </c>
      <c r="P353">
        <v>68</v>
      </c>
      <c r="Q353">
        <v>7000</v>
      </c>
      <c r="R353" t="str">
        <f t="shared" si="35"/>
        <v>Half Achieved</v>
      </c>
      <c r="S353" t="s">
        <v>24</v>
      </c>
    </row>
    <row r="354" spans="1:19" x14ac:dyDescent="0.25">
      <c r="A354">
        <v>353</v>
      </c>
      <c r="B354" t="s">
        <v>28</v>
      </c>
      <c r="C354">
        <v>58</v>
      </c>
      <c r="D354" t="str">
        <f t="shared" si="30"/>
        <v>50's</v>
      </c>
      <c r="E354" t="s">
        <v>29</v>
      </c>
      <c r="F354">
        <v>8</v>
      </c>
      <c r="G354" t="str">
        <f t="shared" si="31"/>
        <v>Good</v>
      </c>
      <c r="H354">
        <v>9</v>
      </c>
      <c r="I354" t="str">
        <f t="shared" si="32"/>
        <v>Good</v>
      </c>
      <c r="J354">
        <v>75</v>
      </c>
      <c r="K354" s="1">
        <f t="shared" si="33"/>
        <v>3.125</v>
      </c>
      <c r="L354" s="1" t="str">
        <f t="shared" si="34"/>
        <v>Highly Active</v>
      </c>
      <c r="M354">
        <v>3</v>
      </c>
      <c r="N354" t="s">
        <v>15</v>
      </c>
      <c r="O354" t="s">
        <v>54</v>
      </c>
      <c r="P354">
        <v>68</v>
      </c>
      <c r="Q354">
        <v>7000</v>
      </c>
      <c r="R354" t="str">
        <f t="shared" si="35"/>
        <v>Half Achieved</v>
      </c>
      <c r="S354" t="s">
        <v>24</v>
      </c>
    </row>
    <row r="355" spans="1:19" x14ac:dyDescent="0.25">
      <c r="A355">
        <v>354</v>
      </c>
      <c r="B355" t="s">
        <v>28</v>
      </c>
      <c r="C355">
        <v>58</v>
      </c>
      <c r="D355" t="str">
        <f t="shared" si="30"/>
        <v>50's</v>
      </c>
      <c r="E355" t="s">
        <v>29</v>
      </c>
      <c r="F355">
        <v>8</v>
      </c>
      <c r="G355" t="str">
        <f t="shared" si="31"/>
        <v>Good</v>
      </c>
      <c r="H355">
        <v>9</v>
      </c>
      <c r="I355" t="str">
        <f t="shared" si="32"/>
        <v>Good</v>
      </c>
      <c r="J355">
        <v>75</v>
      </c>
      <c r="K355" s="1">
        <f t="shared" si="33"/>
        <v>3.125</v>
      </c>
      <c r="L355" s="1" t="str">
        <f t="shared" si="34"/>
        <v>Highly Active</v>
      </c>
      <c r="M355">
        <v>3</v>
      </c>
      <c r="N355" t="s">
        <v>15</v>
      </c>
      <c r="O355" t="s">
        <v>54</v>
      </c>
      <c r="P355">
        <v>68</v>
      </c>
      <c r="Q355">
        <v>7000</v>
      </c>
      <c r="R355" t="str">
        <f t="shared" si="35"/>
        <v>Half Achieved</v>
      </c>
      <c r="S355" t="s">
        <v>24</v>
      </c>
    </row>
    <row r="356" spans="1:19" x14ac:dyDescent="0.25">
      <c r="A356">
        <v>355</v>
      </c>
      <c r="B356" t="s">
        <v>28</v>
      </c>
      <c r="C356">
        <v>58</v>
      </c>
      <c r="D356" t="str">
        <f t="shared" si="30"/>
        <v>50's</v>
      </c>
      <c r="E356" t="s">
        <v>29</v>
      </c>
      <c r="F356">
        <v>8</v>
      </c>
      <c r="G356" t="str">
        <f t="shared" si="31"/>
        <v>Good</v>
      </c>
      <c r="H356">
        <v>9</v>
      </c>
      <c r="I356" t="str">
        <f t="shared" si="32"/>
        <v>Good</v>
      </c>
      <c r="J356">
        <v>75</v>
      </c>
      <c r="K356" s="1">
        <f t="shared" si="33"/>
        <v>3.125</v>
      </c>
      <c r="L356" s="1" t="str">
        <f t="shared" si="34"/>
        <v>Highly Active</v>
      </c>
      <c r="M356">
        <v>3</v>
      </c>
      <c r="N356" t="s">
        <v>15</v>
      </c>
      <c r="O356" t="s">
        <v>54</v>
      </c>
      <c r="P356">
        <v>68</v>
      </c>
      <c r="Q356">
        <v>7000</v>
      </c>
      <c r="R356" t="str">
        <f t="shared" si="35"/>
        <v>Half Achieved</v>
      </c>
      <c r="S356" t="s">
        <v>24</v>
      </c>
    </row>
    <row r="357" spans="1:19" x14ac:dyDescent="0.25">
      <c r="A357">
        <v>356</v>
      </c>
      <c r="B357" t="s">
        <v>28</v>
      </c>
      <c r="C357">
        <v>58</v>
      </c>
      <c r="D357" t="str">
        <f t="shared" si="30"/>
        <v>50's</v>
      </c>
      <c r="E357" t="s">
        <v>29</v>
      </c>
      <c r="F357">
        <v>8</v>
      </c>
      <c r="G357" t="str">
        <f t="shared" si="31"/>
        <v>Good</v>
      </c>
      <c r="H357">
        <v>9</v>
      </c>
      <c r="I357" t="str">
        <f t="shared" si="32"/>
        <v>Good</v>
      </c>
      <c r="J357">
        <v>75</v>
      </c>
      <c r="K357" s="1">
        <f t="shared" si="33"/>
        <v>3.125</v>
      </c>
      <c r="L357" s="1" t="str">
        <f t="shared" si="34"/>
        <v>Highly Active</v>
      </c>
      <c r="M357">
        <v>3</v>
      </c>
      <c r="N357" t="s">
        <v>15</v>
      </c>
      <c r="O357" t="s">
        <v>54</v>
      </c>
      <c r="P357">
        <v>68</v>
      </c>
      <c r="Q357">
        <v>7000</v>
      </c>
      <c r="R357" t="str">
        <f t="shared" si="35"/>
        <v>Half Achieved</v>
      </c>
      <c r="S357" t="s">
        <v>24</v>
      </c>
    </row>
    <row r="358" spans="1:19" x14ac:dyDescent="0.25">
      <c r="A358">
        <v>357</v>
      </c>
      <c r="B358" t="s">
        <v>28</v>
      </c>
      <c r="C358">
        <v>58</v>
      </c>
      <c r="D358" t="str">
        <f t="shared" si="30"/>
        <v>50's</v>
      </c>
      <c r="E358" t="s">
        <v>29</v>
      </c>
      <c r="F358">
        <v>8</v>
      </c>
      <c r="G358" t="str">
        <f t="shared" si="31"/>
        <v>Good</v>
      </c>
      <c r="H358">
        <v>9</v>
      </c>
      <c r="I358" t="str">
        <f t="shared" si="32"/>
        <v>Good</v>
      </c>
      <c r="J358">
        <v>75</v>
      </c>
      <c r="K358" s="1">
        <f t="shared" si="33"/>
        <v>3.125</v>
      </c>
      <c r="L358" s="1" t="str">
        <f t="shared" si="34"/>
        <v>Highly Active</v>
      </c>
      <c r="M358">
        <v>3</v>
      </c>
      <c r="N358" t="s">
        <v>15</v>
      </c>
      <c r="O358" t="s">
        <v>54</v>
      </c>
      <c r="P358">
        <v>68</v>
      </c>
      <c r="Q358">
        <v>7000</v>
      </c>
      <c r="R358" t="str">
        <f t="shared" si="35"/>
        <v>Half Achieved</v>
      </c>
      <c r="S358" t="s">
        <v>24</v>
      </c>
    </row>
    <row r="359" spans="1:19" x14ac:dyDescent="0.25">
      <c r="A359">
        <v>358</v>
      </c>
      <c r="B359" t="s">
        <v>28</v>
      </c>
      <c r="C359">
        <v>58</v>
      </c>
      <c r="D359" t="str">
        <f t="shared" si="30"/>
        <v>50's</v>
      </c>
      <c r="E359" t="s">
        <v>29</v>
      </c>
      <c r="F359">
        <v>8</v>
      </c>
      <c r="G359" t="str">
        <f t="shared" si="31"/>
        <v>Good</v>
      </c>
      <c r="H359">
        <v>9</v>
      </c>
      <c r="I359" t="str">
        <f t="shared" si="32"/>
        <v>Good</v>
      </c>
      <c r="J359">
        <v>75</v>
      </c>
      <c r="K359" s="1">
        <f t="shared" si="33"/>
        <v>3.125</v>
      </c>
      <c r="L359" s="1" t="str">
        <f t="shared" si="34"/>
        <v>Highly Active</v>
      </c>
      <c r="M359">
        <v>3</v>
      </c>
      <c r="N359" t="s">
        <v>15</v>
      </c>
      <c r="O359" t="s">
        <v>54</v>
      </c>
      <c r="P359">
        <v>68</v>
      </c>
      <c r="Q359">
        <v>7000</v>
      </c>
      <c r="R359" t="str">
        <f t="shared" si="35"/>
        <v>Half Achieved</v>
      </c>
      <c r="S359" t="s">
        <v>24</v>
      </c>
    </row>
    <row r="360" spans="1:19" x14ac:dyDescent="0.25">
      <c r="A360">
        <v>359</v>
      </c>
      <c r="B360" t="s">
        <v>28</v>
      </c>
      <c r="C360">
        <v>59</v>
      </c>
      <c r="D360" t="str">
        <f t="shared" si="30"/>
        <v>50's</v>
      </c>
      <c r="E360" t="s">
        <v>29</v>
      </c>
      <c r="F360">
        <v>8</v>
      </c>
      <c r="G360" t="str">
        <f t="shared" si="31"/>
        <v>Good</v>
      </c>
      <c r="H360">
        <v>9</v>
      </c>
      <c r="I360" t="str">
        <f t="shared" si="32"/>
        <v>Good</v>
      </c>
      <c r="J360">
        <v>75</v>
      </c>
      <c r="K360" s="1">
        <f t="shared" si="33"/>
        <v>3.125</v>
      </c>
      <c r="L360" s="1" t="str">
        <f t="shared" si="34"/>
        <v>Highly Active</v>
      </c>
      <c r="M360">
        <v>3</v>
      </c>
      <c r="N360" t="s">
        <v>15</v>
      </c>
      <c r="O360" t="s">
        <v>54</v>
      </c>
      <c r="P360">
        <v>68</v>
      </c>
      <c r="Q360">
        <v>7000</v>
      </c>
      <c r="R360" t="str">
        <f t="shared" si="35"/>
        <v>Half Achieved</v>
      </c>
      <c r="S360" t="s">
        <v>17</v>
      </c>
    </row>
    <row r="361" spans="1:19" x14ac:dyDescent="0.25">
      <c r="A361">
        <v>360</v>
      </c>
      <c r="B361" t="s">
        <v>28</v>
      </c>
      <c r="C361">
        <v>59</v>
      </c>
      <c r="D361" t="str">
        <f t="shared" si="30"/>
        <v>50's</v>
      </c>
      <c r="E361" t="s">
        <v>29</v>
      </c>
      <c r="F361">
        <v>8.1</v>
      </c>
      <c r="G361" t="str">
        <f t="shared" si="31"/>
        <v>Good</v>
      </c>
      <c r="H361">
        <v>9</v>
      </c>
      <c r="I361" t="str">
        <f t="shared" si="32"/>
        <v>Good</v>
      </c>
      <c r="J361">
        <v>75</v>
      </c>
      <c r="K361" s="1">
        <f t="shared" si="33"/>
        <v>3.125</v>
      </c>
      <c r="L361" s="1" t="str">
        <f t="shared" si="34"/>
        <v>Highly Active</v>
      </c>
      <c r="M361">
        <v>3</v>
      </c>
      <c r="N361" t="s">
        <v>15</v>
      </c>
      <c r="O361" t="s">
        <v>54</v>
      </c>
      <c r="P361">
        <v>68</v>
      </c>
      <c r="Q361">
        <v>7000</v>
      </c>
      <c r="R361" t="str">
        <f t="shared" si="35"/>
        <v>Half Achieved</v>
      </c>
      <c r="S361" t="s">
        <v>17</v>
      </c>
    </row>
    <row r="362" spans="1:19" x14ac:dyDescent="0.25">
      <c r="A362">
        <v>361</v>
      </c>
      <c r="B362" t="s">
        <v>28</v>
      </c>
      <c r="C362">
        <v>59</v>
      </c>
      <c r="D362" t="str">
        <f t="shared" si="30"/>
        <v>50's</v>
      </c>
      <c r="E362" t="s">
        <v>29</v>
      </c>
      <c r="F362">
        <v>8.1999999999999993</v>
      </c>
      <c r="G362" t="str">
        <f t="shared" si="31"/>
        <v>Good</v>
      </c>
      <c r="H362">
        <v>9</v>
      </c>
      <c r="I362" t="str">
        <f t="shared" si="32"/>
        <v>Good</v>
      </c>
      <c r="J362">
        <v>75</v>
      </c>
      <c r="K362" s="1">
        <f t="shared" si="33"/>
        <v>3.125</v>
      </c>
      <c r="L362" s="1" t="str">
        <f t="shared" si="34"/>
        <v>Highly Active</v>
      </c>
      <c r="M362">
        <v>3</v>
      </c>
      <c r="N362" t="s">
        <v>15</v>
      </c>
      <c r="O362" t="s">
        <v>54</v>
      </c>
      <c r="P362">
        <v>68</v>
      </c>
      <c r="Q362">
        <v>7000</v>
      </c>
      <c r="R362" t="str">
        <f t="shared" si="35"/>
        <v>Half Achieved</v>
      </c>
      <c r="S362" t="s">
        <v>24</v>
      </c>
    </row>
    <row r="363" spans="1:19" x14ac:dyDescent="0.25">
      <c r="A363">
        <v>362</v>
      </c>
      <c r="B363" t="s">
        <v>28</v>
      </c>
      <c r="C363">
        <v>59</v>
      </c>
      <c r="D363" t="str">
        <f t="shared" si="30"/>
        <v>50's</v>
      </c>
      <c r="E363" t="s">
        <v>29</v>
      </c>
      <c r="F363">
        <v>8.1999999999999993</v>
      </c>
      <c r="G363" t="str">
        <f t="shared" si="31"/>
        <v>Good</v>
      </c>
      <c r="H363">
        <v>9</v>
      </c>
      <c r="I363" t="str">
        <f t="shared" si="32"/>
        <v>Good</v>
      </c>
      <c r="J363">
        <v>75</v>
      </c>
      <c r="K363" s="1">
        <f t="shared" si="33"/>
        <v>3.125</v>
      </c>
      <c r="L363" s="1" t="str">
        <f t="shared" si="34"/>
        <v>Highly Active</v>
      </c>
      <c r="M363">
        <v>3</v>
      </c>
      <c r="N363" t="s">
        <v>15</v>
      </c>
      <c r="O363" t="s">
        <v>54</v>
      </c>
      <c r="P363">
        <v>68</v>
      </c>
      <c r="Q363">
        <v>7000</v>
      </c>
      <c r="R363" t="str">
        <f t="shared" si="35"/>
        <v>Half Achieved</v>
      </c>
      <c r="S363" t="s">
        <v>24</v>
      </c>
    </row>
    <row r="364" spans="1:19" x14ac:dyDescent="0.25">
      <c r="A364">
        <v>363</v>
      </c>
      <c r="B364" t="s">
        <v>28</v>
      </c>
      <c r="C364">
        <v>59</v>
      </c>
      <c r="D364" t="str">
        <f t="shared" si="30"/>
        <v>50's</v>
      </c>
      <c r="E364" t="s">
        <v>29</v>
      </c>
      <c r="F364">
        <v>8.1999999999999993</v>
      </c>
      <c r="G364" t="str">
        <f t="shared" si="31"/>
        <v>Good</v>
      </c>
      <c r="H364">
        <v>9</v>
      </c>
      <c r="I364" t="str">
        <f t="shared" si="32"/>
        <v>Good</v>
      </c>
      <c r="J364">
        <v>75</v>
      </c>
      <c r="K364" s="1">
        <f t="shared" si="33"/>
        <v>3.125</v>
      </c>
      <c r="L364" s="1" t="str">
        <f t="shared" si="34"/>
        <v>Highly Active</v>
      </c>
      <c r="M364">
        <v>3</v>
      </c>
      <c r="N364" t="s">
        <v>15</v>
      </c>
      <c r="O364" t="s">
        <v>54</v>
      </c>
      <c r="P364">
        <v>68</v>
      </c>
      <c r="Q364">
        <v>7000</v>
      </c>
      <c r="R364" t="str">
        <f t="shared" si="35"/>
        <v>Half Achieved</v>
      </c>
      <c r="S364" t="s">
        <v>24</v>
      </c>
    </row>
    <row r="365" spans="1:19" x14ac:dyDescent="0.25">
      <c r="A365">
        <v>364</v>
      </c>
      <c r="B365" t="s">
        <v>28</v>
      </c>
      <c r="C365">
        <v>59</v>
      </c>
      <c r="D365" t="str">
        <f t="shared" si="30"/>
        <v>50's</v>
      </c>
      <c r="E365" t="s">
        <v>29</v>
      </c>
      <c r="F365">
        <v>8.1999999999999993</v>
      </c>
      <c r="G365" t="str">
        <f t="shared" si="31"/>
        <v>Good</v>
      </c>
      <c r="H365">
        <v>9</v>
      </c>
      <c r="I365" t="str">
        <f t="shared" si="32"/>
        <v>Good</v>
      </c>
      <c r="J365">
        <v>75</v>
      </c>
      <c r="K365" s="1">
        <f t="shared" si="33"/>
        <v>3.125</v>
      </c>
      <c r="L365" s="1" t="str">
        <f t="shared" si="34"/>
        <v>Highly Active</v>
      </c>
      <c r="M365">
        <v>3</v>
      </c>
      <c r="N365" t="s">
        <v>15</v>
      </c>
      <c r="O365" t="s">
        <v>54</v>
      </c>
      <c r="P365">
        <v>68</v>
      </c>
      <c r="Q365">
        <v>7000</v>
      </c>
      <c r="R365" t="str">
        <f t="shared" si="35"/>
        <v>Half Achieved</v>
      </c>
      <c r="S365" t="s">
        <v>24</v>
      </c>
    </row>
    <row r="366" spans="1:19" x14ac:dyDescent="0.25">
      <c r="A366">
        <v>365</v>
      </c>
      <c r="B366" t="s">
        <v>28</v>
      </c>
      <c r="C366">
        <v>59</v>
      </c>
      <c r="D366" t="str">
        <f t="shared" si="30"/>
        <v>50's</v>
      </c>
      <c r="E366" t="s">
        <v>29</v>
      </c>
      <c r="F366">
        <v>8</v>
      </c>
      <c r="G366" t="str">
        <f t="shared" si="31"/>
        <v>Good</v>
      </c>
      <c r="H366">
        <v>9</v>
      </c>
      <c r="I366" t="str">
        <f t="shared" si="32"/>
        <v>Good</v>
      </c>
      <c r="J366">
        <v>75</v>
      </c>
      <c r="K366" s="1">
        <f t="shared" si="33"/>
        <v>3.125</v>
      </c>
      <c r="L366" s="1" t="str">
        <f t="shared" si="34"/>
        <v>Highly Active</v>
      </c>
      <c r="M366">
        <v>3</v>
      </c>
      <c r="N366" t="s">
        <v>15</v>
      </c>
      <c r="O366" t="s">
        <v>54</v>
      </c>
      <c r="P366">
        <v>68</v>
      </c>
      <c r="Q366">
        <v>7000</v>
      </c>
      <c r="R366" t="str">
        <f t="shared" si="35"/>
        <v>Half Achieved</v>
      </c>
      <c r="S366" t="s">
        <v>24</v>
      </c>
    </row>
    <row r="367" spans="1:19" x14ac:dyDescent="0.25">
      <c r="A367">
        <v>366</v>
      </c>
      <c r="B367" t="s">
        <v>28</v>
      </c>
      <c r="C367">
        <v>59</v>
      </c>
      <c r="D367" t="str">
        <f t="shared" si="30"/>
        <v>50's</v>
      </c>
      <c r="E367" t="s">
        <v>29</v>
      </c>
      <c r="F367">
        <v>8</v>
      </c>
      <c r="G367" t="str">
        <f t="shared" si="31"/>
        <v>Good</v>
      </c>
      <c r="H367">
        <v>9</v>
      </c>
      <c r="I367" t="str">
        <f t="shared" si="32"/>
        <v>Good</v>
      </c>
      <c r="J367">
        <v>75</v>
      </c>
      <c r="K367" s="1">
        <f t="shared" si="33"/>
        <v>3.125</v>
      </c>
      <c r="L367" s="1" t="str">
        <f t="shared" si="34"/>
        <v>Highly Active</v>
      </c>
      <c r="M367">
        <v>3</v>
      </c>
      <c r="N367" t="s">
        <v>15</v>
      </c>
      <c r="O367" t="s">
        <v>54</v>
      </c>
      <c r="P367">
        <v>68</v>
      </c>
      <c r="Q367">
        <v>7000</v>
      </c>
      <c r="R367" t="str">
        <f t="shared" si="35"/>
        <v>Half Achieved</v>
      </c>
      <c r="S367" t="s">
        <v>24</v>
      </c>
    </row>
    <row r="368" spans="1:19" x14ac:dyDescent="0.25">
      <c r="A368">
        <v>367</v>
      </c>
      <c r="B368" t="s">
        <v>28</v>
      </c>
      <c r="C368">
        <v>59</v>
      </c>
      <c r="D368" t="str">
        <f t="shared" si="30"/>
        <v>50's</v>
      </c>
      <c r="E368" t="s">
        <v>29</v>
      </c>
      <c r="F368">
        <v>8.1</v>
      </c>
      <c r="G368" t="str">
        <f t="shared" si="31"/>
        <v>Good</v>
      </c>
      <c r="H368">
        <v>9</v>
      </c>
      <c r="I368" t="str">
        <f t="shared" si="32"/>
        <v>Good</v>
      </c>
      <c r="J368">
        <v>75</v>
      </c>
      <c r="K368" s="1">
        <f t="shared" si="33"/>
        <v>3.125</v>
      </c>
      <c r="L368" s="1" t="str">
        <f t="shared" si="34"/>
        <v>Highly Active</v>
      </c>
      <c r="M368">
        <v>3</v>
      </c>
      <c r="N368" t="s">
        <v>15</v>
      </c>
      <c r="O368" t="s">
        <v>54</v>
      </c>
      <c r="P368">
        <v>68</v>
      </c>
      <c r="Q368">
        <v>7000</v>
      </c>
      <c r="R368" t="str">
        <f t="shared" si="35"/>
        <v>Half Achieved</v>
      </c>
      <c r="S368" t="s">
        <v>24</v>
      </c>
    </row>
    <row r="369" spans="1:19" x14ac:dyDescent="0.25">
      <c r="A369">
        <v>368</v>
      </c>
      <c r="B369" t="s">
        <v>28</v>
      </c>
      <c r="C369">
        <v>59</v>
      </c>
      <c r="D369" t="str">
        <f t="shared" si="30"/>
        <v>50's</v>
      </c>
      <c r="E369" t="s">
        <v>29</v>
      </c>
      <c r="F369">
        <v>8</v>
      </c>
      <c r="G369" t="str">
        <f t="shared" si="31"/>
        <v>Good</v>
      </c>
      <c r="H369">
        <v>9</v>
      </c>
      <c r="I369" t="str">
        <f t="shared" si="32"/>
        <v>Good</v>
      </c>
      <c r="J369">
        <v>75</v>
      </c>
      <c r="K369" s="1">
        <f t="shared" si="33"/>
        <v>3.125</v>
      </c>
      <c r="L369" s="1" t="str">
        <f t="shared" si="34"/>
        <v>Highly Active</v>
      </c>
      <c r="M369">
        <v>3</v>
      </c>
      <c r="N369" t="s">
        <v>15</v>
      </c>
      <c r="O369" t="s">
        <v>54</v>
      </c>
      <c r="P369">
        <v>68</v>
      </c>
      <c r="Q369">
        <v>7000</v>
      </c>
      <c r="R369" t="str">
        <f t="shared" si="35"/>
        <v>Half Achieved</v>
      </c>
      <c r="S369" t="s">
        <v>24</v>
      </c>
    </row>
    <row r="370" spans="1:19" x14ac:dyDescent="0.25">
      <c r="A370">
        <v>369</v>
      </c>
      <c r="B370" t="s">
        <v>28</v>
      </c>
      <c r="C370">
        <v>59</v>
      </c>
      <c r="D370" t="str">
        <f t="shared" si="30"/>
        <v>50's</v>
      </c>
      <c r="E370" t="s">
        <v>29</v>
      </c>
      <c r="F370">
        <v>8.1</v>
      </c>
      <c r="G370" t="str">
        <f t="shared" si="31"/>
        <v>Good</v>
      </c>
      <c r="H370">
        <v>9</v>
      </c>
      <c r="I370" t="str">
        <f t="shared" si="32"/>
        <v>Good</v>
      </c>
      <c r="J370">
        <v>75</v>
      </c>
      <c r="K370" s="1">
        <f t="shared" si="33"/>
        <v>3.125</v>
      </c>
      <c r="L370" s="1" t="str">
        <f t="shared" si="34"/>
        <v>Highly Active</v>
      </c>
      <c r="M370">
        <v>3</v>
      </c>
      <c r="N370" t="s">
        <v>15</v>
      </c>
      <c r="O370" t="s">
        <v>54</v>
      </c>
      <c r="P370">
        <v>68</v>
      </c>
      <c r="Q370">
        <v>7000</v>
      </c>
      <c r="R370" t="str">
        <f t="shared" si="35"/>
        <v>Half Achieved</v>
      </c>
      <c r="S370" t="s">
        <v>24</v>
      </c>
    </row>
    <row r="371" spans="1:19" x14ac:dyDescent="0.25">
      <c r="A371">
        <v>370</v>
      </c>
      <c r="B371" t="s">
        <v>28</v>
      </c>
      <c r="C371">
        <v>59</v>
      </c>
      <c r="D371" t="str">
        <f t="shared" si="30"/>
        <v>50's</v>
      </c>
      <c r="E371" t="s">
        <v>29</v>
      </c>
      <c r="F371">
        <v>8.1</v>
      </c>
      <c r="G371" t="str">
        <f t="shared" si="31"/>
        <v>Good</v>
      </c>
      <c r="H371">
        <v>9</v>
      </c>
      <c r="I371" t="str">
        <f t="shared" si="32"/>
        <v>Good</v>
      </c>
      <c r="J371">
        <v>75</v>
      </c>
      <c r="K371" s="1">
        <f t="shared" si="33"/>
        <v>3.125</v>
      </c>
      <c r="L371" s="1" t="str">
        <f t="shared" si="34"/>
        <v>Highly Active</v>
      </c>
      <c r="M371">
        <v>3</v>
      </c>
      <c r="N371" t="s">
        <v>15</v>
      </c>
      <c r="O371" t="s">
        <v>54</v>
      </c>
      <c r="P371">
        <v>68</v>
      </c>
      <c r="Q371">
        <v>7000</v>
      </c>
      <c r="R371" t="str">
        <f t="shared" si="35"/>
        <v>Half Achieved</v>
      </c>
      <c r="S371" t="s">
        <v>24</v>
      </c>
    </row>
    <row r="372" spans="1:19" x14ac:dyDescent="0.25">
      <c r="A372">
        <v>371</v>
      </c>
      <c r="B372" t="s">
        <v>28</v>
      </c>
      <c r="C372">
        <v>59</v>
      </c>
      <c r="D372" t="str">
        <f t="shared" si="30"/>
        <v>50's</v>
      </c>
      <c r="E372" t="s">
        <v>29</v>
      </c>
      <c r="F372">
        <v>8</v>
      </c>
      <c r="G372" t="str">
        <f t="shared" si="31"/>
        <v>Good</v>
      </c>
      <c r="H372">
        <v>9</v>
      </c>
      <c r="I372" t="str">
        <f t="shared" si="32"/>
        <v>Good</v>
      </c>
      <c r="J372">
        <v>75</v>
      </c>
      <c r="K372" s="1">
        <f t="shared" si="33"/>
        <v>3.125</v>
      </c>
      <c r="L372" s="1" t="str">
        <f t="shared" si="34"/>
        <v>Highly Active</v>
      </c>
      <c r="M372">
        <v>3</v>
      </c>
      <c r="N372" t="s">
        <v>15</v>
      </c>
      <c r="O372" t="s">
        <v>54</v>
      </c>
      <c r="P372">
        <v>68</v>
      </c>
      <c r="Q372">
        <v>7000</v>
      </c>
      <c r="R372" t="str">
        <f t="shared" si="35"/>
        <v>Half Achieved</v>
      </c>
      <c r="S372" t="s">
        <v>24</v>
      </c>
    </row>
    <row r="373" spans="1:19" x14ac:dyDescent="0.25">
      <c r="A373">
        <v>372</v>
      </c>
      <c r="B373" t="s">
        <v>28</v>
      </c>
      <c r="C373">
        <v>59</v>
      </c>
      <c r="D373" t="str">
        <f t="shared" si="30"/>
        <v>50's</v>
      </c>
      <c r="E373" t="s">
        <v>29</v>
      </c>
      <c r="F373">
        <v>8.1</v>
      </c>
      <c r="G373" t="str">
        <f t="shared" si="31"/>
        <v>Good</v>
      </c>
      <c r="H373">
        <v>9</v>
      </c>
      <c r="I373" t="str">
        <f t="shared" si="32"/>
        <v>Good</v>
      </c>
      <c r="J373">
        <v>75</v>
      </c>
      <c r="K373" s="1">
        <f t="shared" si="33"/>
        <v>3.125</v>
      </c>
      <c r="L373" s="1" t="str">
        <f t="shared" si="34"/>
        <v>Highly Active</v>
      </c>
      <c r="M373">
        <v>3</v>
      </c>
      <c r="N373" t="s">
        <v>15</v>
      </c>
      <c r="O373" t="s">
        <v>54</v>
      </c>
      <c r="P373">
        <v>68</v>
      </c>
      <c r="Q373">
        <v>7000</v>
      </c>
      <c r="R373" t="str">
        <f t="shared" si="35"/>
        <v>Half Achieved</v>
      </c>
      <c r="S373" t="s">
        <v>24</v>
      </c>
    </row>
    <row r="374" spans="1:19" x14ac:dyDescent="0.25">
      <c r="A374">
        <v>373</v>
      </c>
      <c r="B374" t="s">
        <v>28</v>
      </c>
      <c r="C374">
        <v>59</v>
      </c>
      <c r="D374" t="str">
        <f t="shared" si="30"/>
        <v>50's</v>
      </c>
      <c r="E374" t="s">
        <v>29</v>
      </c>
      <c r="F374">
        <v>8.1</v>
      </c>
      <c r="G374" t="str">
        <f t="shared" si="31"/>
        <v>Good</v>
      </c>
      <c r="H374">
        <v>9</v>
      </c>
      <c r="I374" t="str">
        <f t="shared" si="32"/>
        <v>Good</v>
      </c>
      <c r="J374">
        <v>75</v>
      </c>
      <c r="K374" s="1">
        <f t="shared" si="33"/>
        <v>3.125</v>
      </c>
      <c r="L374" s="1" t="str">
        <f t="shared" si="34"/>
        <v>Highly Active</v>
      </c>
      <c r="M374">
        <v>3</v>
      </c>
      <c r="N374" t="s">
        <v>15</v>
      </c>
      <c r="O374" t="s">
        <v>54</v>
      </c>
      <c r="P374">
        <v>68</v>
      </c>
      <c r="Q374">
        <v>7000</v>
      </c>
      <c r="R374" t="str">
        <f t="shared" si="35"/>
        <v>Half Achieved</v>
      </c>
      <c r="S374" t="s">
        <v>24</v>
      </c>
    </row>
    <row r="375" spans="1:19" x14ac:dyDescent="0.25">
      <c r="A375">
        <v>374</v>
      </c>
      <c r="B375" t="s">
        <v>28</v>
      </c>
      <c r="C375">
        <v>59</v>
      </c>
      <c r="D375" t="str">
        <f t="shared" si="30"/>
        <v>50's</v>
      </c>
      <c r="E375" t="s">
        <v>29</v>
      </c>
      <c r="F375">
        <v>8.1</v>
      </c>
      <c r="G375" t="str">
        <f t="shared" si="31"/>
        <v>Good</v>
      </c>
      <c r="H375">
        <v>9</v>
      </c>
      <c r="I375" t="str">
        <f t="shared" si="32"/>
        <v>Good</v>
      </c>
      <c r="J375">
        <v>75</v>
      </c>
      <c r="K375" s="1">
        <f t="shared" si="33"/>
        <v>3.125</v>
      </c>
      <c r="L375" s="1" t="str">
        <f t="shared" si="34"/>
        <v>Highly Active</v>
      </c>
      <c r="M375">
        <v>3</v>
      </c>
      <c r="N375" t="s">
        <v>15</v>
      </c>
      <c r="O375" t="s">
        <v>54</v>
      </c>
      <c r="P375">
        <v>68</v>
      </c>
      <c r="Q375">
        <v>7000</v>
      </c>
      <c r="R375" t="str">
        <f t="shared" si="35"/>
        <v>Half Achieved</v>
      </c>
      <c r="S375" t="s">
        <v>24</v>
      </c>
    </row>
  </sheetData>
  <conditionalFormatting sqref="G1:G1048576">
    <cfRule type="containsText" dxfId="30" priority="15" operator="containsText" text="Very low">
      <formula>NOT(ISERROR(SEARCH("Very low",G1)))</formula>
    </cfRule>
    <cfRule type="containsText" dxfId="29" priority="16" operator="containsText" text="Low">
      <formula>NOT(ISERROR(SEARCH("Low",G1)))</formula>
    </cfRule>
    <cfRule type="containsText" dxfId="28" priority="17" operator="containsText" text="Very low">
      <formula>NOT(ISERROR(SEARCH("Very low",G1)))</formula>
    </cfRule>
    <cfRule type="containsText" dxfId="27" priority="18" operator="containsText" text="Good">
      <formula>NOT(ISERROR(SEARCH("Good",G1)))</formula>
    </cfRule>
    <cfRule type="containsText" dxfId="26" priority="19" operator="containsText" text="Low">
      <formula>NOT(ISERROR(SEARCH("Low",G1)))</formula>
    </cfRule>
  </conditionalFormatting>
  <conditionalFormatting sqref="I1:I1048576">
    <cfRule type="containsText" dxfId="25" priority="13" operator="containsText" text="Poor">
      <formula>NOT(ISERROR(SEARCH("Poor",I1)))</formula>
    </cfRule>
    <cfRule type="containsText" dxfId="24" priority="14" operator="containsText" text="Good">
      <formula>NOT(ISERROR(SEARCH("Good",I1)))</formula>
    </cfRule>
  </conditionalFormatting>
  <conditionalFormatting sqref="L1:L1048576">
    <cfRule type="containsText" dxfId="23" priority="8" operator="containsText" text="Sedentary">
      <formula>NOT(ISERROR(SEARCH("Sedentary",L1)))</formula>
    </cfRule>
    <cfRule type="containsText" dxfId="22" priority="9" operator="containsText" text="Highly">
      <formula>NOT(ISERROR(SEARCH("Highly",L1)))</formula>
    </cfRule>
    <cfRule type="containsText" dxfId="21" priority="10" operator="containsText" text="Active">
      <formula>NOT(ISERROR(SEARCH("Active",L1)))</formula>
    </cfRule>
    <cfRule type="containsText" dxfId="20" priority="11" operator="containsText" text="Highly Active">
      <formula>NOT(ISERROR(SEARCH("Highly Active",L1)))</formula>
    </cfRule>
    <cfRule type="containsText" dxfId="19" priority="12" operator="containsText" text="Active">
      <formula>NOT(ISERROR(SEARCH("Active",L1)))</formula>
    </cfRule>
  </conditionalFormatting>
  <conditionalFormatting sqref="N1:N1048576">
    <cfRule type="containsText" dxfId="18" priority="5" operator="containsText" text="Overwei">
      <formula>NOT(ISERROR(SEARCH("Overwei",N1)))</formula>
    </cfRule>
    <cfRule type="containsText" dxfId="17" priority="6" operator="containsText" text="Obese">
      <formula>NOT(ISERROR(SEARCH("Obese",N1)))</formula>
    </cfRule>
    <cfRule type="containsText" dxfId="16" priority="7" operator="containsText" text="Normal">
      <formula>NOT(ISERROR(SEARCH("Normal",N1)))</formula>
    </cfRule>
  </conditionalFormatting>
  <conditionalFormatting sqref="R1:R1048576">
    <cfRule type="containsText" dxfId="15" priority="2" operator="containsText" text="Steps Achieved">
      <formula>NOT(ISERROR(SEARCH("Steps Achieved",R1)))</formula>
    </cfRule>
    <cfRule type="containsText" dxfId="14" priority="3" operator="containsText" text="Ha">
      <formula>NOT(ISERROR(SEARCH("Ha",R1)))</formula>
    </cfRule>
    <cfRule type="containsText" dxfId="13" priority="4" operator="containsText" text="Part">
      <formula>NOT(ISERROR(SEARCH("Part",R1)))</formula>
    </cfRule>
  </conditionalFormatting>
  <conditionalFormatting sqref="S1:S1048576">
    <cfRule type="containsText" dxfId="12" priority="1" operator="containsText" text="None">
      <formula>NOT(ISERROR(SEARCH("None",S1)))</formula>
    </cfRule>
  </conditionalFormatting>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B2:Z3"/>
  <sheetViews>
    <sheetView showGridLines="0" tabSelected="1" topLeftCell="A4" zoomScale="84" zoomScaleNormal="84" workbookViewId="0">
      <selection activeCell="C16" sqref="C16"/>
    </sheetView>
  </sheetViews>
  <sheetFormatPr defaultRowHeight="15" x14ac:dyDescent="0.25"/>
  <cols>
    <col min="1" max="16384" width="9.140625" style="7"/>
  </cols>
  <sheetData>
    <row r="2" spans="2:26" x14ac:dyDescent="0.25">
      <c r="B2" s="5"/>
      <c r="C2" s="5"/>
      <c r="D2" s="5"/>
      <c r="E2" s="5"/>
      <c r="F2" s="6"/>
      <c r="G2" s="6"/>
      <c r="H2" s="6"/>
      <c r="I2" s="6"/>
      <c r="J2" s="5"/>
      <c r="K2" s="5"/>
      <c r="L2" s="5"/>
      <c r="M2" s="5"/>
      <c r="N2" s="6"/>
      <c r="O2" s="6"/>
      <c r="P2" s="6"/>
      <c r="Q2" s="6"/>
      <c r="R2" s="6"/>
      <c r="S2" s="6"/>
      <c r="T2" s="6"/>
      <c r="U2" s="6"/>
      <c r="V2" s="6"/>
      <c r="W2" s="6"/>
      <c r="X2" s="6"/>
      <c r="Y2" s="6"/>
      <c r="Z2" s="6"/>
    </row>
    <row r="3" spans="2:26" x14ac:dyDescent="0.25">
      <c r="B3" s="6"/>
      <c r="C3" s="6"/>
      <c r="D3" s="6"/>
      <c r="E3" s="6"/>
      <c r="F3" s="6"/>
      <c r="G3" s="6"/>
      <c r="H3" s="6"/>
      <c r="I3" s="6"/>
      <c r="J3" s="6"/>
      <c r="K3" s="6"/>
      <c r="L3" s="6"/>
      <c r="M3" s="6"/>
      <c r="N3" s="6"/>
      <c r="O3" s="6"/>
      <c r="P3" s="6"/>
      <c r="Q3" s="6"/>
      <c r="R3" s="6"/>
      <c r="S3" s="6"/>
      <c r="T3" s="6"/>
      <c r="U3" s="6"/>
      <c r="V3" s="6"/>
      <c r="W3" s="6"/>
      <c r="X3" s="6"/>
      <c r="Y3" s="6"/>
      <c r="Z3" s="6"/>
    </row>
  </sheetData>
  <sheetProtection password="B944" sheet="1" objects="1" scenarios="1" selectLockedCells="1" pivotTables="0" selectUnlockedCells="1"/>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Sleep_health_and_lifestyle_data</vt:lpstr>
      <vt:lpstr>Charts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Windows User</cp:lastModifiedBy>
  <cp:lastPrinted>2025-12-26T07:33:05Z</cp:lastPrinted>
  <dcterms:created xsi:type="dcterms:W3CDTF">2025-12-25T15:24:53Z</dcterms:created>
  <dcterms:modified xsi:type="dcterms:W3CDTF">2025-12-31T14:40:25Z</dcterms:modified>
</cp:coreProperties>
</file>